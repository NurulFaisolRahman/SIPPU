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ribadi yanto\"/>
    </mc:Choice>
  </mc:AlternateContent>
  <bookViews>
    <workbookView xWindow="-120" yWindow="-120" windowWidth="20730" windowHeight="1104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6" i="1" l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F15" i="1"/>
</calcChain>
</file>

<file path=xl/sharedStrings.xml><?xml version="1.0" encoding="utf-8"?>
<sst xmlns="http://schemas.openxmlformats.org/spreadsheetml/2006/main" count="334" uniqueCount="282">
  <si>
    <t>PEMERINTAH KABUPATEN MIMIKA</t>
  </si>
  <si>
    <t xml:space="preserve">DINAS PENANAMAN MODAL DAN PELAYANAN TERPADU SATU PINTU </t>
  </si>
  <si>
    <t>JL.POROS KUALA KENCANA PUSAT PEMERINTAHAN GEDUNG D LANTAI II</t>
  </si>
  <si>
    <t>Tlp.(0901)3262943 Timika - Papua pos 99910</t>
  </si>
  <si>
    <t>REKAPAN DATA PELAYANAN OPD TEKNIS ISTANSI VERTIKAL,BUNMN/BUMD DI MAL PELAYANAN PUBLIK MIMIKA</t>
  </si>
  <si>
    <t xml:space="preserve">                                                                                                                                                                       PERIODE TIRIWULAN 1 JANUARI - MARET 2026</t>
  </si>
  <si>
    <t>NO</t>
  </si>
  <si>
    <t>NAMA OPD / INSTANSI</t>
  </si>
  <si>
    <t xml:space="preserve">JENIS LAYANAN </t>
  </si>
  <si>
    <t>Januri</t>
  </si>
  <si>
    <t>Feberuari</t>
  </si>
  <si>
    <t>Maret</t>
  </si>
  <si>
    <t>BNN</t>
  </si>
  <si>
    <t>Jumlah pengunjung Loket</t>
  </si>
  <si>
    <t>Surat keterangan hasil pemeriksaan narkotika (SKHPN)</t>
  </si>
  <si>
    <t>Konseling tentang bahaya Narkoba</t>
  </si>
  <si>
    <t>Layanan Lainnya</t>
  </si>
  <si>
    <t>PENGADILAN AGAMA</t>
  </si>
  <si>
    <t>pelayanan informasi dan konsultasi</t>
  </si>
  <si>
    <t>pelayanan pendaftaran perkara secara e-court</t>
  </si>
  <si>
    <t>pelayanan pengambilan produk pengadilan</t>
  </si>
  <si>
    <t>layanan lainnya</t>
  </si>
  <si>
    <t>BADAN PUSAT STATISTIK</t>
  </si>
  <si>
    <t>Jumlah pengunjung loket</t>
  </si>
  <si>
    <t>statistik sosial (kemiskinan,ketenagakerjaan)</t>
  </si>
  <si>
    <t>statistik ekonomi (PDRB &amp; Transportasi)</t>
  </si>
  <si>
    <t>statistik keuangan dan harga (in flasi)</t>
  </si>
  <si>
    <t>layanan Lainnya</t>
  </si>
  <si>
    <t>KEPOLISIAN RESORT MIMIKA (POLRES)</t>
  </si>
  <si>
    <t>perpanjang SIM A/B1/B2</t>
  </si>
  <si>
    <t>Perpanjangan SIM C</t>
  </si>
  <si>
    <t>Pelayanan surat permohonan ijin keramaian (SIK)</t>
  </si>
  <si>
    <t>Pelayanan surat keterangan catatan kriminal (SKCK)</t>
  </si>
  <si>
    <t>Layanan lainnya</t>
  </si>
  <si>
    <t>BADAN POM</t>
  </si>
  <si>
    <t>permintaan informasi dan pengaduan masyarakat</t>
  </si>
  <si>
    <t>sertifikasi CDOB (cara distribusi obat yang baik)</t>
  </si>
  <si>
    <t>permohonan surat rekomendasi pemenuhan aspek cara pembuatan obat tradisional yang baik (CPOTB Bertahap</t>
  </si>
  <si>
    <t>sertifikasi izin penerapan cara produksi pangan olahan yang baik (CPPOB)</t>
  </si>
  <si>
    <t>Sertifikasi CPKB (cara produksi kosmetik yang baik )</t>
  </si>
  <si>
    <t>DJP KANTOR PELAYANAN PAJAK PRATAMA TIMIKA</t>
  </si>
  <si>
    <t>Jumlah Pengunjung Loket</t>
  </si>
  <si>
    <t>konsultasi perpajakan</t>
  </si>
  <si>
    <t>pembuatan kode billing</t>
  </si>
  <si>
    <t>konsultasi SPT tahunan pribadi</t>
  </si>
  <si>
    <t>perubahan data wajip pajak</t>
  </si>
  <si>
    <t>permohonan pengaktifan kembali NPWP</t>
  </si>
  <si>
    <t>Permohonan penetapan wajip pajak non efektif</t>
  </si>
  <si>
    <t>permohonan aktifitas EFIN/Permintaan kode EFIN/Penggantian EFIN</t>
  </si>
  <si>
    <t>permintaan kembali kartu NPWP/SKT/SPPKP</t>
  </si>
  <si>
    <t>LAYANAN Lainnya</t>
  </si>
  <si>
    <t>KANTOR IMIGRASI KELAS II TPI MIMIKA</t>
  </si>
  <si>
    <t>layanan paspor (baru/perpanjangan)</t>
  </si>
  <si>
    <t>Layanan paspor (pengambilan)</t>
  </si>
  <si>
    <t>layanan informasi dan konsultasi</t>
  </si>
  <si>
    <t>PENGADILAN NEGERI KOTA TIMIKA KELAS II B</t>
  </si>
  <si>
    <t>layanan persidangan</t>
  </si>
  <si>
    <t>KANTOR KEMENTRIAN AGAMA</t>
  </si>
  <si>
    <t>Informasi pendaftaran layanan haji</t>
  </si>
  <si>
    <t>informasi pendaftaran layanan nikah</t>
  </si>
  <si>
    <t>informasi pendaftaran layanan produk halal</t>
  </si>
  <si>
    <t>informasi pendaftaran layanan pendirian lembaga dan pendidikan keagamaan</t>
  </si>
  <si>
    <t>konsultasi pendaftaran lainnya</t>
  </si>
  <si>
    <t>BAPENDA PROV.PAPUA (SAMSAT)</t>
  </si>
  <si>
    <t>jumlah pengunjung Loket</t>
  </si>
  <si>
    <t>pelayanan pembayaran pajak tahunan</t>
  </si>
  <si>
    <t>layanan lainya</t>
  </si>
  <si>
    <t>KEJAKSAAN NEGERI MIMIKA</t>
  </si>
  <si>
    <t>BAPENDA</t>
  </si>
  <si>
    <t>Pelayanan pendaftaran pajak PBJT</t>
  </si>
  <si>
    <t>Pelayanan pendaftaran pajak Reklame,air tanah dan MBLB</t>
  </si>
  <si>
    <t>Pelayanan penetapan pajak air tanah,pajak reklama,dan pajak MBLB</t>
  </si>
  <si>
    <t>Pelayanan pemberitahuan penutupan tempat usaha</t>
  </si>
  <si>
    <t>pelayanan penyampaian keberatan pajak daerah lainnya</t>
  </si>
  <si>
    <t>pelayanan pembayaran pajak daerah lainnya</t>
  </si>
  <si>
    <t>pelayanan pendaftaran pajak PBB-P2</t>
  </si>
  <si>
    <t>Pelayanan pemutahiran data  PBB-P2</t>
  </si>
  <si>
    <t>pelayanan keberatan PBB-P2</t>
  </si>
  <si>
    <t>Pelayanan cetak ulang SPPT PBB-P2</t>
  </si>
  <si>
    <t>Pelayanan penghapusan denda PBB-P2</t>
  </si>
  <si>
    <t>Pelayanan konsultasi pengisian SSPD BPHTB</t>
  </si>
  <si>
    <t>Pelayanan pembayaran pajak PBB-P2 dan BPHTB</t>
  </si>
  <si>
    <t>Pelayanan pembuatan Fiskal</t>
  </si>
  <si>
    <t>pelayanan pengaduan masyarakat</t>
  </si>
  <si>
    <t>total pembayaran pajak daerah</t>
  </si>
  <si>
    <t>DISHUB</t>
  </si>
  <si>
    <t>Rekomendasi plat kuning</t>
  </si>
  <si>
    <t>konsultasi tentang tata cara /persyaratan dokumen uji KIR</t>
  </si>
  <si>
    <t xml:space="preserve">UNIT LAYANAN PENGADAAN BARANG DAN JASA </t>
  </si>
  <si>
    <t>Pelayanan pendaftaran akun penyedia</t>
  </si>
  <si>
    <t>pendaftaran e-Ketalog bagi penyedia</t>
  </si>
  <si>
    <t>DISDUKCAPIL</t>
  </si>
  <si>
    <t>Jumlah nomor antrian</t>
  </si>
  <si>
    <t>perekaman kartu tanda penduduk (KTP-Elektronik)</t>
  </si>
  <si>
    <t>cetak (KTP Elektronik)</t>
  </si>
  <si>
    <t>sisa blangko</t>
  </si>
  <si>
    <t>SFE</t>
  </si>
  <si>
    <t>PRR</t>
  </si>
  <si>
    <t>Pindah Keluar</t>
  </si>
  <si>
    <t>Pindah Masuk</t>
  </si>
  <si>
    <t>KIA</t>
  </si>
  <si>
    <t>KK</t>
  </si>
  <si>
    <t>Akte Kelahiran</t>
  </si>
  <si>
    <t>Pengankatan Anak</t>
  </si>
  <si>
    <t>Perubahan Nama</t>
  </si>
  <si>
    <t>BPKAK</t>
  </si>
  <si>
    <t>Perceraian</t>
  </si>
  <si>
    <t>Akte BAKAK</t>
  </si>
  <si>
    <t>Akte Kematian</t>
  </si>
  <si>
    <t>Pelayanan Akte Perkawinan</t>
  </si>
  <si>
    <t>SKTT</t>
  </si>
  <si>
    <t>Buku Pokok Pemakaman</t>
  </si>
  <si>
    <t>KTP Digital</t>
  </si>
  <si>
    <t>Total KTP Digital</t>
  </si>
  <si>
    <t>DISPERINDAG</t>
  </si>
  <si>
    <t>Rekomendasi Bahan Bakar Minyak (BBM)</t>
  </si>
  <si>
    <t>Rekomendasi Minuman Beralkohol(SITP-MB)</t>
  </si>
  <si>
    <t>Rekomendasi/Telaahan Depot Air Minum</t>
  </si>
  <si>
    <t>DINAS PETRNAKAN</t>
  </si>
  <si>
    <t>Jumlah Kunjungan Loket</t>
  </si>
  <si>
    <t>Surat Keterangan Usaha Peternakan</t>
  </si>
  <si>
    <t>DINAS KESEHATAN</t>
  </si>
  <si>
    <t>Jumlah Pengunjung loket</t>
  </si>
  <si>
    <t>Rekomendasi Izin Praktik Dokter</t>
  </si>
  <si>
    <t>Rekomendasi Sertifikat Standart Apotik</t>
  </si>
  <si>
    <t>Rekomendasi Sertifikat Standart Klinik</t>
  </si>
  <si>
    <t>Rekomendasi Sertifikat Standart Laboratorium</t>
  </si>
  <si>
    <t>Rekomendasi Surat Izin Praktik Perawat</t>
  </si>
  <si>
    <t>Rekomendasi Surat Izin Praktik Tenaga Teknis Kefarmasian</t>
  </si>
  <si>
    <t>Rekomendasi Izin Praktik Dokter Gigi</t>
  </si>
  <si>
    <t>Rekomendasi Izin Praktik Apoteker</t>
  </si>
  <si>
    <t>Rekomendasi Izin Praktik Analis</t>
  </si>
  <si>
    <t>Rekomendasi Izin Praktik Sanitasi</t>
  </si>
  <si>
    <t xml:space="preserve">Konsultasi Izin Praktik Tenaga Kesehatan </t>
  </si>
  <si>
    <t>Rekomendasi Izin Bidan</t>
  </si>
  <si>
    <t xml:space="preserve">Surat Sanitasi </t>
  </si>
  <si>
    <t>DINAS PUPR</t>
  </si>
  <si>
    <t>Layanan Surat Informasi Tata Ruang</t>
  </si>
  <si>
    <t>Layanan Pembuatan Surat Keterangan Rencana Kabupaten</t>
  </si>
  <si>
    <t>Permohonan  Konsultasi Tentang Retribusi PBG</t>
  </si>
  <si>
    <t>Permohonan Konsultasi Tentang PBG Ruko</t>
  </si>
  <si>
    <t>Konsultasi Persyaratan PBG Untuk Rumah Tinggal</t>
  </si>
  <si>
    <t>Konsultasi Lanjutan PBG</t>
  </si>
  <si>
    <t>Permohonan Memasukan KKPR</t>
  </si>
  <si>
    <t>Permintaan Persyaratan Air Bersih</t>
  </si>
  <si>
    <t>DINAS SOSIAL</t>
  </si>
  <si>
    <t>Layanan Konsultasi Bantuan Sosial</t>
  </si>
  <si>
    <t>Surat Keterangan DTKS/DTSFN</t>
  </si>
  <si>
    <t>Penerbitan Izin Pengumpulan Uang atau Barang (PUB)</t>
  </si>
  <si>
    <t>Layanan Konsultasi Bantuan OAP</t>
  </si>
  <si>
    <t>Rekomendasi Adopsi Anak</t>
  </si>
  <si>
    <t>Rekomendasi Peksos (Pekerjaan Sosial)</t>
  </si>
  <si>
    <t>Rekomendasi BPJS</t>
  </si>
  <si>
    <t>Pelayanan Laporan Bencana</t>
  </si>
  <si>
    <t>Pindah DTSEN</t>
  </si>
  <si>
    <t>Layanan Online</t>
  </si>
  <si>
    <t>Layanan Pengecekan Bantuan Sosial</t>
  </si>
  <si>
    <t>DINAS LINGKUNGAN HIDUP</t>
  </si>
  <si>
    <t>Dokumen Lingkungan</t>
  </si>
  <si>
    <t>Rekomendasi Teknis Pengelolaan Sampah</t>
  </si>
  <si>
    <t>Layanan Terkait Pemenuha Buku Mutu Air Limbah</t>
  </si>
  <si>
    <t>Layanan Terkait Buku Mutu Emisi</t>
  </si>
  <si>
    <t>Konsultasi Terkait Tata Ruangdan PBG</t>
  </si>
  <si>
    <t>Konsultasi Terkait SPPL Rumah Tinggal</t>
  </si>
  <si>
    <t>DINAS TANAMAN PANGAN DAN HOLTIKULTURA,DAN PERKEBUNAN</t>
  </si>
  <si>
    <t>Surat Rekomendasi Lhan Pertanian</t>
  </si>
  <si>
    <t>Surat Rekomendasi Usaha Pertanian</t>
  </si>
  <si>
    <t>DINAS KOPERASI  &amp; UKM</t>
  </si>
  <si>
    <t>Pengambilan No.Induk Koperasi (NIK Online Data System)</t>
  </si>
  <si>
    <t>Konsultasi Koperasi</t>
  </si>
  <si>
    <t>Rekomendasi Akta</t>
  </si>
  <si>
    <t>Pengimputan Nomor Induk Koperasi (NIK)</t>
  </si>
  <si>
    <t>DISNAKERTRANS</t>
  </si>
  <si>
    <t>Layanan Kartu Tanda Pencari Kerja(Baru)</t>
  </si>
  <si>
    <t>Layanan Kartu Tanda Pencari Kerja(Perpanjang)</t>
  </si>
  <si>
    <t>DINAS KETAHANAN PANGAN</t>
  </si>
  <si>
    <t>Izin Edar Pengawasan Pangan Segar Asal Tumbuhan</t>
  </si>
  <si>
    <t>DPMPTSP</t>
  </si>
  <si>
    <t>Konsultasi,Mengarahkan,Menjelaskan,dan Menyimpan Formulir Perizinan</t>
  </si>
  <si>
    <t>Cetak Izin SIPD</t>
  </si>
  <si>
    <t>Cetak Izin SIPDGI</t>
  </si>
  <si>
    <t>Cetak Izin SIKPM</t>
  </si>
  <si>
    <t>Cetak Izin SIPA</t>
  </si>
  <si>
    <t>Cetak Izin SIPPA</t>
  </si>
  <si>
    <t>Cetak Izin SIPB</t>
  </si>
  <si>
    <t>Cetak Izin SIUP</t>
  </si>
  <si>
    <t>Cetak Izin KKPR</t>
  </si>
  <si>
    <t>Cetak Izin SIPP</t>
  </si>
  <si>
    <t>Cetak Izin SIPTTK</t>
  </si>
  <si>
    <t>Konsultasi OSS</t>
  </si>
  <si>
    <t>Cetak Izin Klinik(SIOK)</t>
  </si>
  <si>
    <t>Pencabutan SIOK</t>
  </si>
  <si>
    <t>Cetak Izin Labotatorium</t>
  </si>
  <si>
    <t>Cetak Izin IUJK</t>
  </si>
  <si>
    <t>Cetak KKPR</t>
  </si>
  <si>
    <t>Konsultasi KBLI Simpan Pinjam Sesuai Kewenangan</t>
  </si>
  <si>
    <t>Pendaftaran OSS</t>
  </si>
  <si>
    <t>Penambahan KBLI</t>
  </si>
  <si>
    <t>Pendaftaran NIB</t>
  </si>
  <si>
    <t>Verifikasi  Izin Apotik</t>
  </si>
  <si>
    <t>Cetak SIKTS</t>
  </si>
  <si>
    <t>Cetak SIP-ATLM</t>
  </si>
  <si>
    <t>SIA</t>
  </si>
  <si>
    <t>Pencabutan Izin Tenaga Kesehatan</t>
  </si>
  <si>
    <t>Cetak SIUP-K</t>
  </si>
  <si>
    <t>Cetak BPKP</t>
  </si>
  <si>
    <t>Cetak SIPDS</t>
  </si>
  <si>
    <t>Pencabutan SIPA</t>
  </si>
  <si>
    <t>PBG</t>
  </si>
  <si>
    <t>Pencabutan Izin Klinik</t>
  </si>
  <si>
    <t>Cetak SIKTP-MB</t>
  </si>
  <si>
    <t>Izin Pengiriman Material Antar Pulau</t>
  </si>
  <si>
    <t>BANK PAPUA</t>
  </si>
  <si>
    <t>Pembayaran PBB</t>
  </si>
  <si>
    <t>Pembayaran Pajak Daerah</t>
  </si>
  <si>
    <t>Pembayaran Reribusi</t>
  </si>
  <si>
    <t>Layanan Pajak PPN/PPH</t>
  </si>
  <si>
    <t>Pembayaran Pajak Daerah Restaurant</t>
  </si>
  <si>
    <t>Payment Telkom</t>
  </si>
  <si>
    <t>PLN</t>
  </si>
  <si>
    <t>Setoran Nasabah</t>
  </si>
  <si>
    <t>Pembayaran Pajak Reklame</t>
  </si>
  <si>
    <t>BPJS KESEHATAN</t>
  </si>
  <si>
    <t>Pelayanan Informasi</t>
  </si>
  <si>
    <t>Pendaftaran Baru Peserta PBPU,PPU dan BP</t>
  </si>
  <si>
    <t>Pengaktifan Kembali Kepesertaan</t>
  </si>
  <si>
    <t>Perubahan/ Perbaikan Data</t>
  </si>
  <si>
    <t>Perubahan/Perbaikan Data Faskes Tinggkat 1</t>
  </si>
  <si>
    <t>Pendaftaran Akun JKN Mobile</t>
  </si>
  <si>
    <t>Pendaftaran Program Rehab (Cicilan)</t>
  </si>
  <si>
    <t>Cetak Status Kepesertaan PBI-APBD</t>
  </si>
  <si>
    <t>Update Data BBL</t>
  </si>
  <si>
    <t>Penanganan Pengaduan</t>
  </si>
  <si>
    <t>Penambahan/Pengurangan Anggota Keluarga</t>
  </si>
  <si>
    <t>BPJS KETENAGAKERJAAN</t>
  </si>
  <si>
    <t>Pelayanan Informasi Manfaat Program BPJS Ketenagakerjaan</t>
  </si>
  <si>
    <t>Pelayanan Informasi Prosedur Pengajuan Klaim BPJS Ketenag Kerjaan</t>
  </si>
  <si>
    <t>Pelayanan Pendaftaran Kepesertaan BPJS Ketenagakerjaan</t>
  </si>
  <si>
    <t>Pelayanan Penggunaan Aplikasi JMO</t>
  </si>
  <si>
    <t>Layanan Informasi Bantuan Subsidi Upah (BSI)</t>
  </si>
  <si>
    <t>POS INDONESIA</t>
  </si>
  <si>
    <t>Pelayanan Pengiriman Surat  dan Paket</t>
  </si>
  <si>
    <t>Pelayanan Jasa Keuangan (Payment/biller)dan Pengiriman Uang(Wesel)</t>
  </si>
  <si>
    <t>Pelayanan Pembelian Materai</t>
  </si>
  <si>
    <t>Pelayanan Pembayaran SPP/Billing</t>
  </si>
  <si>
    <t>Pelayanan Pembayaran PBB</t>
  </si>
  <si>
    <t>Pelayanan Pembayaran Listrik</t>
  </si>
  <si>
    <t>Pelayanan Pembelian Pulsa HP/Telepon</t>
  </si>
  <si>
    <t>pelayanan BPJS</t>
  </si>
  <si>
    <t>DINAS PERPUSTAKAN DAERAH</t>
  </si>
  <si>
    <t>jumlah Pengunjung Loket</t>
  </si>
  <si>
    <t>layanan umum</t>
  </si>
  <si>
    <t>layanan anak</t>
  </si>
  <si>
    <t>PUSKESMAS TIMIKA</t>
  </si>
  <si>
    <t>Pojok Sceening</t>
  </si>
  <si>
    <t>Layanan Cek Malaria</t>
  </si>
  <si>
    <t>Layanan Cek Golongan Darah</t>
  </si>
  <si>
    <t>DINAS PARIWISATA KEBUDAYAAN PEMUDA DAN OLAHRAGA</t>
  </si>
  <si>
    <t>layanan rekomendasi izin hotel</t>
  </si>
  <si>
    <t>layanan rekomendasi izin penginapan</t>
  </si>
  <si>
    <t>layanan rekomendasi izin restoran dan café</t>
  </si>
  <si>
    <t>layanan rekomendasi izin tempat pijat / spa</t>
  </si>
  <si>
    <t>layanan rekomendasi izin tanda daftar usaha pariwisata</t>
  </si>
  <si>
    <t>PERUSAHAN LISTRIK NEGARA</t>
  </si>
  <si>
    <t>layanan pasang baru</t>
  </si>
  <si>
    <t xml:space="preserve">layanan tambah data </t>
  </si>
  <si>
    <t>layanan migrasi ke token</t>
  </si>
  <si>
    <t xml:space="preserve">layanan riwayat pembelian token </t>
  </si>
  <si>
    <t xml:space="preserve">BADAN RISET DAN INOVASI DAERAH </t>
  </si>
  <si>
    <t>layanan  konsultasi tentang rizet dan inovasi</t>
  </si>
  <si>
    <t>layanan fasilitasi pengurusan hak kekayan intelektual</t>
  </si>
  <si>
    <t>Layanan magang siswa dan MBKM</t>
  </si>
  <si>
    <t>Layanan lainya</t>
  </si>
  <si>
    <t>KEMENTRIAN HAJI UMROH</t>
  </si>
  <si>
    <t>Layanan pendaftaran haji dan umroh</t>
  </si>
  <si>
    <t>Layanan informasi dan  konsultasi haji umroh</t>
  </si>
  <si>
    <t>Layanan pengajuan pelaksaan haji dan umroh</t>
  </si>
  <si>
    <t>Jumlah perbulan</t>
  </si>
  <si>
    <t xml:space="preserve">julah total </t>
  </si>
  <si>
    <t>Jumlah</t>
  </si>
  <si>
    <t>April</t>
  </si>
  <si>
    <t>Mei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</si>
</sst>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6100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CC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E699"/>
        <bgColor rgb="FFFFFFFF"/>
      </patternFill>
    </fill>
    <fill>
      <patternFill patternType="solid">
        <fgColor rgb="FFF4B084"/>
        <bgColor rgb="FFFFFFFF"/>
      </patternFill>
    </fill>
    <fill>
      <patternFill patternType="solid">
        <fgColor rgb="FFA9D08E"/>
        <bgColor rgb="FFFFFFFF"/>
      </patternFill>
    </fill>
    <fill>
      <patternFill patternType="solid">
        <fgColor rgb="FFB4C6E7"/>
        <bgColor rgb="FFFFFFFF"/>
      </patternFill>
    </fill>
    <fill>
      <patternFill patternType="solid">
        <fgColor rgb="FFDBDBDB"/>
        <bgColor rgb="FFFFFFFF"/>
      </patternFill>
    </fill>
    <fill>
      <patternFill patternType="solid">
        <fgColor rgb="FFC6E0B4"/>
        <bgColor rgb="FFFFFFFF"/>
      </patternFill>
    </fill>
    <fill>
      <patternFill patternType="solid">
        <fgColor rgb="FFF8CBAD"/>
        <bgColor rgb="FFFFFFFF"/>
      </patternFill>
    </fill>
    <fill>
      <patternFill patternType="solid">
        <fgColor rgb="FFBDD7EE"/>
        <bgColor rgb="FFFFFFFF"/>
      </patternFill>
    </fill>
    <fill>
      <patternFill patternType="solid">
        <fgColor rgb="FFC6EFCE"/>
        <bgColor rgb="FFFFFFFF"/>
      </patternFill>
    </fill>
    <fill>
      <patternFill patternType="solid">
        <fgColor rgb="FFFFFFCC"/>
        <bgColor rgb="FFFFFFFF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9" tint="0.79998168889431442"/>
        <bgColor indexed="65"/>
      </patternFill>
    </fill>
  </fills>
  <borders count="11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5">
    <xf numFmtId="0" fontId="0" fillId="0" borderId="0"/>
    <xf numFmtId="0" fontId="2" fillId="2" borderId="0" applyNumberFormat="0" applyBorder="0" applyAlignment="0" applyProtection="0"/>
    <xf numFmtId="0" fontId="1" fillId="3" borderId="1" applyNumberFormat="0" applyFont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2" fillId="23" borderId="0" applyNumberFormat="0" applyBorder="0" applyAlignment="0" applyProtection="0"/>
    <xf numFmtId="0" fontId="13" fillId="24" borderId="0" applyNumberFormat="0" applyBorder="0" applyAlignment="0" applyProtection="0"/>
    <xf numFmtId="0" fontId="1" fillId="25" borderId="0" applyNumberFormat="0" applyBorder="0" applyAlignment="0" applyProtection="0"/>
  </cellStyleXfs>
  <cellXfs count="168">
    <xf numFmtId="0" fontId="0" fillId="0" borderId="0" xfId="0"/>
    <xf numFmtId="0" fontId="6" fillId="0" borderId="0" xfId="0" applyFont="1"/>
    <xf numFmtId="0" fontId="4" fillId="13" borderId="5" xfId="7" applyFont="1" applyFill="1" applyBorder="1" applyAlignment="1">
      <alignment horizontal="center" vertical="center"/>
    </xf>
    <xf numFmtId="0" fontId="4" fillId="14" borderId="5" xfId="5" applyFont="1" applyFill="1" applyBorder="1" applyAlignment="1">
      <alignment horizontal="center" vertical="center"/>
    </xf>
    <xf numFmtId="0" fontId="4" fillId="15" borderId="5" xfId="11" applyFont="1" applyFill="1" applyBorder="1" applyAlignment="1">
      <alignment horizontal="center" vertical="center"/>
    </xf>
    <xf numFmtId="0" fontId="4" fillId="16" borderId="5" xfId="3" applyFont="1" applyFill="1" applyBorder="1" applyAlignment="1">
      <alignment horizontal="center" vertical="center"/>
    </xf>
    <xf numFmtId="0" fontId="4" fillId="17" borderId="5" xfId="6" applyFont="1" applyFill="1" applyBorder="1" applyAlignment="1">
      <alignment horizontal="center" vertical="center"/>
    </xf>
    <xf numFmtId="0" fontId="4" fillId="18" borderId="5" xfId="10" applyFont="1" applyFill="1" applyBorder="1" applyAlignment="1">
      <alignment horizontal="center" vertical="center"/>
    </xf>
    <xf numFmtId="0" fontId="4" fillId="19" borderId="5" xfId="4" applyFont="1" applyFill="1" applyBorder="1" applyAlignment="1">
      <alignment horizontal="center" vertical="center"/>
    </xf>
    <xf numFmtId="0" fontId="4" fillId="20" borderId="5" xfId="8" applyFont="1" applyFill="1" applyBorder="1" applyAlignment="1">
      <alignment horizontal="center" vertical="center"/>
    </xf>
    <xf numFmtId="0" fontId="7" fillId="21" borderId="5" xfId="1" applyFont="1" applyFill="1" applyBorder="1" applyAlignment="1">
      <alignment horizontal="center" vertical="center"/>
    </xf>
    <xf numFmtId="0" fontId="8" fillId="22" borderId="5" xfId="2" applyFont="1" applyFill="1" applyBorder="1" applyAlignment="1">
      <alignment horizontal="center" vertical="center"/>
    </xf>
    <xf numFmtId="0" fontId="6" fillId="5" borderId="5" xfId="4" applyFont="1" applyBorder="1" applyAlignment="1">
      <alignment horizontal="center" vertical="center"/>
    </xf>
    <xf numFmtId="0" fontId="8" fillId="0" borderId="5" xfId="0" applyFont="1" applyBorder="1"/>
    <xf numFmtId="0" fontId="3" fillId="0" borderId="5" xfId="0" applyFont="1" applyBorder="1" applyAlignment="1">
      <alignment horizontal="right"/>
    </xf>
    <xf numFmtId="0" fontId="8" fillId="0" borderId="6" xfId="0" applyFont="1" applyBorder="1"/>
    <xf numFmtId="0" fontId="0" fillId="0" borderId="0" xfId="0"/>
    <xf numFmtId="0" fontId="4" fillId="13" borderId="6" xfId="7" applyFont="1" applyFill="1" applyBorder="1"/>
    <xf numFmtId="0" fontId="4" fillId="14" borderId="6" xfId="5" applyFont="1" applyFill="1" applyBorder="1"/>
    <xf numFmtId="0" fontId="4" fillId="15" borderId="6" xfId="11" applyFont="1" applyFill="1" applyBorder="1"/>
    <xf numFmtId="0" fontId="4" fillId="16" borderId="6" xfId="3" applyFont="1" applyFill="1" applyBorder="1"/>
    <xf numFmtId="0" fontId="4" fillId="17" borderId="6" xfId="6" applyFont="1" applyFill="1" applyBorder="1"/>
    <xf numFmtId="0" fontId="4" fillId="18" borderId="6" xfId="10" applyFont="1" applyFill="1" applyBorder="1"/>
    <xf numFmtId="0" fontId="4" fillId="19" borderId="6" xfId="4" applyFont="1" applyFill="1" applyBorder="1"/>
    <xf numFmtId="0" fontId="4" fillId="20" borderId="6" xfId="8" applyFont="1" applyFill="1" applyBorder="1"/>
    <xf numFmtId="0" fontId="7" fillId="21" borderId="6" xfId="1" applyFont="1" applyFill="1" applyBorder="1"/>
    <xf numFmtId="0" fontId="8" fillId="22" borderId="6" xfId="2" applyFont="1" applyFill="1" applyBorder="1"/>
    <xf numFmtId="0" fontId="6" fillId="5" borderId="8" xfId="4" applyFont="1" applyBorder="1"/>
    <xf numFmtId="0" fontId="6" fillId="5" borderId="6" xfId="4" applyFont="1" applyBorder="1"/>
    <xf numFmtId="0" fontId="6" fillId="5" borderId="10" xfId="4" applyFont="1" applyBorder="1"/>
    <xf numFmtId="0" fontId="6" fillId="10" borderId="6" xfId="9" applyFont="1" applyBorder="1"/>
    <xf numFmtId="0" fontId="4" fillId="13" borderId="5" xfId="7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4" fillId="14" borderId="5" xfId="5" applyFont="1" applyFill="1" applyBorder="1" applyAlignment="1">
      <alignment horizontal="center"/>
    </xf>
    <xf numFmtId="0" fontId="4" fillId="15" borderId="5" xfId="11" applyFont="1" applyFill="1" applyBorder="1" applyAlignment="1">
      <alignment horizontal="center"/>
    </xf>
    <xf numFmtId="0" fontId="4" fillId="16" borderId="5" xfId="3" applyFont="1" applyFill="1" applyBorder="1" applyAlignment="1">
      <alignment horizontal="center"/>
    </xf>
    <xf numFmtId="0" fontId="4" fillId="17" borderId="5" xfId="6" applyFont="1" applyFill="1" applyBorder="1" applyAlignment="1">
      <alignment horizontal="center"/>
    </xf>
    <xf numFmtId="0" fontId="4" fillId="18" borderId="5" xfId="10" applyFont="1" applyFill="1" applyBorder="1" applyAlignment="1">
      <alignment horizontal="center"/>
    </xf>
    <xf numFmtId="0" fontId="4" fillId="19" borderId="5" xfId="4" applyFont="1" applyFill="1" applyBorder="1" applyAlignment="1">
      <alignment horizontal="center"/>
    </xf>
    <xf numFmtId="0" fontId="4" fillId="20" borderId="5" xfId="8" applyFont="1" applyFill="1" applyBorder="1" applyAlignment="1">
      <alignment horizontal="center"/>
    </xf>
    <xf numFmtId="0" fontId="7" fillId="21" borderId="5" xfId="1" applyFont="1" applyFill="1" applyBorder="1" applyAlignment="1">
      <alignment horizontal="center"/>
    </xf>
    <xf numFmtId="0" fontId="8" fillId="22" borderId="5" xfId="2" applyFont="1" applyFill="1" applyBorder="1" applyAlignment="1">
      <alignment horizontal="center"/>
    </xf>
    <xf numFmtId="0" fontId="6" fillId="5" borderId="5" xfId="4" applyFont="1" applyBorder="1" applyAlignment="1">
      <alignment horizontal="center"/>
    </xf>
    <xf numFmtId="0" fontId="6" fillId="10" borderId="5" xfId="9" applyFont="1" applyBorder="1" applyAlignment="1">
      <alignment horizontal="center" vertical="center"/>
    </xf>
    <xf numFmtId="0" fontId="6" fillId="10" borderId="5" xfId="9" applyFont="1" applyBorder="1" applyAlignment="1">
      <alignment horizontal="center"/>
    </xf>
    <xf numFmtId="0" fontId="13" fillId="24" borderId="5" xfId="13" applyBorder="1" applyAlignment="1">
      <alignment horizontal="center" wrapText="1"/>
    </xf>
    <xf numFmtId="0" fontId="1" fillId="8" borderId="5" xfId="7" applyBorder="1" applyAlignment="1">
      <alignment horizontal="center" wrapText="1"/>
    </xf>
    <xf numFmtId="0" fontId="1" fillId="7" borderId="5" xfId="6" applyBorder="1" applyAlignment="1">
      <alignment horizontal="center" wrapText="1"/>
    </xf>
    <xf numFmtId="0" fontId="1" fillId="6" borderId="5" xfId="5" applyBorder="1" applyAlignment="1">
      <alignment horizontal="center" wrapText="1"/>
    </xf>
    <xf numFmtId="0" fontId="11" fillId="3" borderId="1" xfId="2" applyFont="1" applyAlignment="1">
      <alignment horizontal="center" wrapText="1"/>
    </xf>
    <xf numFmtId="0" fontId="1" fillId="25" borderId="5" xfId="14" applyBorder="1" applyAlignment="1">
      <alignment horizontal="center" wrapText="1"/>
    </xf>
    <xf numFmtId="0" fontId="1" fillId="12" borderId="5" xfId="11" applyBorder="1" applyAlignment="1">
      <alignment horizontal="center" wrapText="1"/>
    </xf>
    <xf numFmtId="0" fontId="1" fillId="10" borderId="5" xfId="9" applyBorder="1" applyAlignment="1">
      <alignment horizontal="center" wrapText="1"/>
    </xf>
    <xf numFmtId="0" fontId="1" fillId="9" borderId="5" xfId="8" applyBorder="1" applyAlignment="1">
      <alignment horizontal="center" wrapText="1"/>
    </xf>
    <xf numFmtId="0" fontId="1" fillId="4" borderId="5" xfId="3" applyBorder="1" applyAlignment="1">
      <alignment horizontal="center" wrapText="1"/>
    </xf>
    <xf numFmtId="0" fontId="2" fillId="2" borderId="5" xfId="1" applyBorder="1" applyAlignment="1">
      <alignment horizontal="center" wrapText="1"/>
    </xf>
    <xf numFmtId="0" fontId="1" fillId="11" borderId="5" xfId="10" applyBorder="1" applyAlignment="1">
      <alignment horizontal="center" wrapText="1"/>
    </xf>
    <xf numFmtId="0" fontId="1" fillId="5" borderId="5" xfId="4" applyBorder="1" applyAlignment="1">
      <alignment horizontal="center" wrapText="1"/>
    </xf>
    <xf numFmtId="0" fontId="1" fillId="11" borderId="5" xfId="10" applyBorder="1" applyAlignment="1">
      <alignment wrapText="1"/>
    </xf>
    <xf numFmtId="0" fontId="12" fillId="23" borderId="5" xfId="12" applyBorder="1" applyAlignment="1">
      <alignment horizontal="center" wrapText="1"/>
    </xf>
    <xf numFmtId="0" fontId="1" fillId="25" borderId="6" xfId="14" applyBorder="1"/>
    <xf numFmtId="0" fontId="1" fillId="25" borderId="5" xfId="14" applyBorder="1" applyAlignment="1">
      <alignment horizontal="center" vertical="center"/>
    </xf>
    <xf numFmtId="0" fontId="1" fillId="25" borderId="5" xfId="14" applyBorder="1" applyAlignment="1">
      <alignment horizontal="center"/>
    </xf>
    <xf numFmtId="0" fontId="12" fillId="23" borderId="6" xfId="12" applyBorder="1"/>
    <xf numFmtId="0" fontId="12" fillId="23" borderId="5" xfId="12" applyBorder="1" applyAlignment="1">
      <alignment horizontal="center" vertical="center"/>
    </xf>
    <xf numFmtId="0" fontId="12" fillId="23" borderId="5" xfId="12" applyBorder="1" applyAlignment="1">
      <alignment horizontal="center"/>
    </xf>
    <xf numFmtId="0" fontId="1" fillId="8" borderId="5" xfId="7" applyBorder="1" applyAlignment="1">
      <alignment horizontal="center" vertical="center"/>
    </xf>
    <xf numFmtId="0" fontId="0" fillId="0" borderId="0" xfId="0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3" fillId="0" borderId="0" xfId="0" applyFont="1" applyAlignment="1">
      <alignment horizontal="center" vertical="top"/>
    </xf>
    <xf numFmtId="0" fontId="5" fillId="0" borderId="0" xfId="0" applyFont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4" fillId="15" borderId="2" xfId="11" applyFont="1" applyFill="1" applyBorder="1" applyAlignment="1">
      <alignment horizontal="center" vertical="center"/>
    </xf>
    <xf numFmtId="0" fontId="4" fillId="15" borderId="3" xfId="11" applyFont="1" applyFill="1" applyBorder="1" applyAlignment="1">
      <alignment horizontal="center" vertical="center"/>
    </xf>
    <xf numFmtId="0" fontId="4" fillId="15" borderId="4" xfId="11" applyFont="1" applyFill="1" applyBorder="1" applyAlignment="1">
      <alignment horizontal="center" vertical="center"/>
    </xf>
    <xf numFmtId="0" fontId="4" fillId="15" borderId="2" xfId="11" applyFont="1" applyFill="1" applyBorder="1" applyAlignment="1">
      <alignment horizontal="left" vertical="center"/>
    </xf>
    <xf numFmtId="0" fontId="4" fillId="15" borderId="3" xfId="11" applyFont="1" applyFill="1" applyBorder="1" applyAlignment="1">
      <alignment horizontal="left" vertical="center"/>
    </xf>
    <xf numFmtId="0" fontId="4" fillId="15" borderId="4" xfId="11" applyFont="1" applyFill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4" fillId="13" borderId="2" xfId="7" applyFont="1" applyFill="1" applyBorder="1" applyAlignment="1">
      <alignment horizontal="center" vertical="center"/>
    </xf>
    <xf numFmtId="0" fontId="4" fillId="13" borderId="3" xfId="7" applyFont="1" applyFill="1" applyBorder="1" applyAlignment="1">
      <alignment horizontal="center" vertical="center"/>
    </xf>
    <xf numFmtId="0" fontId="4" fillId="13" borderId="4" xfId="7" applyFont="1" applyFill="1" applyBorder="1" applyAlignment="1">
      <alignment horizontal="center" vertical="center"/>
    </xf>
    <xf numFmtId="0" fontId="4" fillId="13" borderId="2" xfId="7" applyFont="1" applyFill="1" applyBorder="1" applyAlignment="1">
      <alignment horizontal="left" vertical="center"/>
    </xf>
    <xf numFmtId="0" fontId="4" fillId="13" borderId="3" xfId="7" applyFont="1" applyFill="1" applyBorder="1" applyAlignment="1">
      <alignment horizontal="left" vertical="center"/>
    </xf>
    <xf numFmtId="0" fontId="4" fillId="13" borderId="4" xfId="7" applyFont="1" applyFill="1" applyBorder="1" applyAlignment="1">
      <alignment horizontal="left" vertical="center"/>
    </xf>
    <xf numFmtId="0" fontId="4" fillId="14" borderId="2" xfId="5" applyFont="1" applyFill="1" applyBorder="1" applyAlignment="1">
      <alignment horizontal="center" vertical="center"/>
    </xf>
    <xf numFmtId="0" fontId="4" fillId="14" borderId="3" xfId="5" applyFont="1" applyFill="1" applyBorder="1" applyAlignment="1">
      <alignment horizontal="center" vertical="center"/>
    </xf>
    <xf numFmtId="0" fontId="4" fillId="14" borderId="4" xfId="5" applyFont="1" applyFill="1" applyBorder="1" applyAlignment="1">
      <alignment horizontal="center" vertical="center"/>
    </xf>
    <xf numFmtId="0" fontId="4" fillId="14" borderId="2" xfId="5" applyFont="1" applyFill="1" applyBorder="1" applyAlignment="1">
      <alignment horizontal="left" vertical="center"/>
    </xf>
    <xf numFmtId="0" fontId="4" fillId="14" borderId="3" xfId="5" applyFont="1" applyFill="1" applyBorder="1" applyAlignment="1">
      <alignment horizontal="left" vertical="center"/>
    </xf>
    <xf numFmtId="0" fontId="4" fillId="14" borderId="4" xfId="5" applyFont="1" applyFill="1" applyBorder="1" applyAlignment="1">
      <alignment horizontal="left" vertical="center"/>
    </xf>
    <xf numFmtId="0" fontId="4" fillId="16" borderId="2" xfId="3" applyFont="1" applyFill="1" applyBorder="1" applyAlignment="1">
      <alignment horizontal="center" vertical="center"/>
    </xf>
    <xf numFmtId="0" fontId="4" fillId="16" borderId="3" xfId="3" applyFont="1" applyFill="1" applyBorder="1" applyAlignment="1">
      <alignment horizontal="center" vertical="center"/>
    </xf>
    <xf numFmtId="0" fontId="4" fillId="16" borderId="4" xfId="3" applyFont="1" applyFill="1" applyBorder="1" applyAlignment="1">
      <alignment horizontal="center" vertical="center"/>
    </xf>
    <xf numFmtId="0" fontId="4" fillId="16" borderId="2" xfId="3" applyFont="1" applyFill="1" applyBorder="1" applyAlignment="1">
      <alignment horizontal="left" vertical="center"/>
    </xf>
    <xf numFmtId="0" fontId="4" fillId="16" borderId="3" xfId="3" applyFont="1" applyFill="1" applyBorder="1" applyAlignment="1">
      <alignment horizontal="left" vertical="center"/>
    </xf>
    <xf numFmtId="0" fontId="4" fillId="16" borderId="4" xfId="3" applyFont="1" applyFill="1" applyBorder="1" applyAlignment="1">
      <alignment horizontal="left" vertical="center"/>
    </xf>
    <xf numFmtId="0" fontId="4" fillId="17" borderId="2" xfId="6" applyFont="1" applyFill="1" applyBorder="1" applyAlignment="1">
      <alignment horizontal="center" vertical="center"/>
    </xf>
    <xf numFmtId="0" fontId="4" fillId="17" borderId="3" xfId="6" applyFont="1" applyFill="1" applyBorder="1" applyAlignment="1">
      <alignment horizontal="center" vertical="center"/>
    </xf>
    <xf numFmtId="0" fontId="4" fillId="17" borderId="4" xfId="6" applyFont="1" applyFill="1" applyBorder="1" applyAlignment="1">
      <alignment horizontal="center" vertical="center"/>
    </xf>
    <xf numFmtId="0" fontId="4" fillId="17" borderId="2" xfId="6" applyFont="1" applyFill="1" applyBorder="1" applyAlignment="1">
      <alignment horizontal="left" vertical="center"/>
    </xf>
    <xf numFmtId="0" fontId="4" fillId="17" borderId="3" xfId="6" applyFont="1" applyFill="1" applyBorder="1" applyAlignment="1">
      <alignment horizontal="left" vertical="center"/>
    </xf>
    <xf numFmtId="0" fontId="4" fillId="17" borderId="4" xfId="6" applyFont="1" applyFill="1" applyBorder="1" applyAlignment="1">
      <alignment horizontal="left" vertical="center"/>
    </xf>
    <xf numFmtId="0" fontId="4" fillId="18" borderId="2" xfId="10" applyFont="1" applyFill="1" applyBorder="1" applyAlignment="1">
      <alignment horizontal="center" vertical="center"/>
    </xf>
    <xf numFmtId="0" fontId="4" fillId="18" borderId="3" xfId="10" applyFont="1" applyFill="1" applyBorder="1" applyAlignment="1">
      <alignment horizontal="center" vertical="center"/>
    </xf>
    <xf numFmtId="0" fontId="4" fillId="18" borderId="4" xfId="10" applyFont="1" applyFill="1" applyBorder="1" applyAlignment="1">
      <alignment horizontal="center" vertical="center"/>
    </xf>
    <xf numFmtId="0" fontId="4" fillId="18" borderId="2" xfId="10" applyFont="1" applyFill="1" applyBorder="1" applyAlignment="1">
      <alignment horizontal="left" vertical="center"/>
    </xf>
    <xf numFmtId="0" fontId="4" fillId="18" borderId="3" xfId="10" applyFont="1" applyFill="1" applyBorder="1" applyAlignment="1">
      <alignment horizontal="left" vertical="center"/>
    </xf>
    <xf numFmtId="0" fontId="4" fillId="18" borderId="4" xfId="10" applyFont="1" applyFill="1" applyBorder="1" applyAlignment="1">
      <alignment horizontal="left" vertical="center"/>
    </xf>
    <xf numFmtId="0" fontId="4" fillId="19" borderId="2" xfId="4" applyFont="1" applyFill="1" applyBorder="1" applyAlignment="1">
      <alignment horizontal="center" vertical="center"/>
    </xf>
    <xf numFmtId="0" fontId="4" fillId="19" borderId="3" xfId="4" applyFont="1" applyFill="1" applyBorder="1" applyAlignment="1">
      <alignment horizontal="center" vertical="center"/>
    </xf>
    <xf numFmtId="0" fontId="4" fillId="19" borderId="4" xfId="4" applyFont="1" applyFill="1" applyBorder="1" applyAlignment="1">
      <alignment horizontal="center" vertical="center"/>
    </xf>
    <xf numFmtId="0" fontId="4" fillId="19" borderId="2" xfId="4" applyFont="1" applyFill="1" applyBorder="1" applyAlignment="1">
      <alignment horizontal="left" vertical="center"/>
    </xf>
    <xf numFmtId="0" fontId="4" fillId="19" borderId="3" xfId="4" applyFont="1" applyFill="1" applyBorder="1" applyAlignment="1">
      <alignment horizontal="left" vertical="center"/>
    </xf>
    <xf numFmtId="0" fontId="4" fillId="19" borderId="4" xfId="4" applyFont="1" applyFill="1" applyBorder="1" applyAlignment="1">
      <alignment horizontal="left" vertical="center"/>
    </xf>
    <xf numFmtId="0" fontId="4" fillId="20" borderId="2" xfId="8" applyFont="1" applyFill="1" applyBorder="1" applyAlignment="1">
      <alignment horizontal="center" vertical="center"/>
    </xf>
    <xf numFmtId="0" fontId="4" fillId="20" borderId="3" xfId="8" applyFont="1" applyFill="1" applyBorder="1" applyAlignment="1">
      <alignment horizontal="center" vertical="center"/>
    </xf>
    <xf numFmtId="0" fontId="4" fillId="20" borderId="4" xfId="8" applyFont="1" applyFill="1" applyBorder="1" applyAlignment="1">
      <alignment horizontal="center" vertical="center"/>
    </xf>
    <xf numFmtId="0" fontId="4" fillId="20" borderId="2" xfId="8" applyFont="1" applyFill="1" applyBorder="1" applyAlignment="1">
      <alignment horizontal="left" vertical="center"/>
    </xf>
    <xf numFmtId="0" fontId="4" fillId="20" borderId="3" xfId="8" applyFont="1" applyFill="1" applyBorder="1" applyAlignment="1">
      <alignment horizontal="left" vertical="center"/>
    </xf>
    <xf numFmtId="0" fontId="4" fillId="20" borderId="4" xfId="8" applyFont="1" applyFill="1" applyBorder="1" applyAlignment="1">
      <alignment horizontal="left" vertical="center"/>
    </xf>
    <xf numFmtId="0" fontId="7" fillId="21" borderId="2" xfId="1" applyFont="1" applyFill="1" applyBorder="1" applyAlignment="1">
      <alignment horizontal="center" vertical="center"/>
    </xf>
    <xf numFmtId="0" fontId="7" fillId="21" borderId="3" xfId="1" applyFont="1" applyFill="1" applyBorder="1" applyAlignment="1">
      <alignment horizontal="center" vertical="center"/>
    </xf>
    <xf numFmtId="0" fontId="7" fillId="21" borderId="4" xfId="1" applyFont="1" applyFill="1" applyBorder="1" applyAlignment="1">
      <alignment horizontal="center" vertical="center"/>
    </xf>
    <xf numFmtId="0" fontId="7" fillId="21" borderId="2" xfId="1" applyFont="1" applyFill="1" applyBorder="1" applyAlignment="1">
      <alignment horizontal="left" vertical="top"/>
    </xf>
    <xf numFmtId="0" fontId="7" fillId="21" borderId="3" xfId="1" applyFont="1" applyFill="1" applyBorder="1" applyAlignment="1">
      <alignment horizontal="left" vertical="top"/>
    </xf>
    <xf numFmtId="0" fontId="7" fillId="21" borderId="4" xfId="1" applyFont="1" applyFill="1" applyBorder="1" applyAlignment="1">
      <alignment horizontal="left" vertical="top"/>
    </xf>
    <xf numFmtId="0" fontId="1" fillId="25" borderId="2" xfId="14" applyBorder="1" applyAlignment="1">
      <alignment horizontal="center" vertical="center"/>
    </xf>
    <xf numFmtId="0" fontId="1" fillId="25" borderId="3" xfId="14" applyBorder="1" applyAlignment="1">
      <alignment horizontal="center" vertical="center"/>
    </xf>
    <xf numFmtId="0" fontId="1" fillId="25" borderId="4" xfId="14" applyBorder="1" applyAlignment="1">
      <alignment horizontal="center" vertical="center"/>
    </xf>
    <xf numFmtId="0" fontId="1" fillId="25" borderId="2" xfId="14" applyBorder="1" applyAlignment="1">
      <alignment horizontal="left" vertical="center"/>
    </xf>
    <xf numFmtId="0" fontId="1" fillId="25" borderId="3" xfId="14" applyBorder="1" applyAlignment="1">
      <alignment horizontal="left" vertical="center"/>
    </xf>
    <xf numFmtId="0" fontId="1" fillId="25" borderId="4" xfId="14" applyBorder="1" applyAlignment="1">
      <alignment horizontal="left" vertical="center"/>
    </xf>
    <xf numFmtId="0" fontId="12" fillId="23" borderId="2" xfId="12" applyBorder="1" applyAlignment="1">
      <alignment horizontal="center" vertical="center"/>
    </xf>
    <xf numFmtId="0" fontId="12" fillId="23" borderId="3" xfId="12" applyBorder="1" applyAlignment="1">
      <alignment horizontal="center" vertical="center"/>
    </xf>
    <xf numFmtId="0" fontId="12" fillId="23" borderId="4" xfId="12" applyBorder="1" applyAlignment="1">
      <alignment horizontal="center" vertical="center"/>
    </xf>
    <xf numFmtId="0" fontId="12" fillId="23" borderId="2" xfId="12" applyBorder="1" applyAlignment="1">
      <alignment horizontal="left" vertical="center"/>
    </xf>
    <xf numFmtId="0" fontId="12" fillId="23" borderId="3" xfId="12" applyBorder="1" applyAlignment="1">
      <alignment horizontal="left" vertical="center"/>
    </xf>
    <xf numFmtId="0" fontId="12" fillId="23" borderId="4" xfId="12" applyBorder="1" applyAlignment="1">
      <alignment horizontal="left" vertical="center"/>
    </xf>
    <xf numFmtId="0" fontId="8" fillId="22" borderId="2" xfId="2" applyFont="1" applyFill="1" applyBorder="1" applyAlignment="1">
      <alignment horizontal="center" vertical="center"/>
    </xf>
    <xf numFmtId="0" fontId="8" fillId="22" borderId="3" xfId="2" applyFont="1" applyFill="1" applyBorder="1" applyAlignment="1">
      <alignment horizontal="center" vertical="center"/>
    </xf>
    <xf numFmtId="0" fontId="8" fillId="22" borderId="4" xfId="2" applyFont="1" applyFill="1" applyBorder="1" applyAlignment="1">
      <alignment horizontal="center" vertical="center"/>
    </xf>
    <xf numFmtId="0" fontId="8" fillId="22" borderId="2" xfId="2" applyFont="1" applyFill="1" applyBorder="1" applyAlignment="1">
      <alignment horizontal="left" vertical="center"/>
    </xf>
    <xf numFmtId="0" fontId="8" fillId="22" borderId="3" xfId="2" applyFont="1" applyFill="1" applyBorder="1" applyAlignment="1">
      <alignment horizontal="left" vertical="center"/>
    </xf>
    <xf numFmtId="0" fontId="8" fillId="22" borderId="4" xfId="2" applyFont="1" applyFill="1" applyBorder="1" applyAlignment="1">
      <alignment horizontal="left" vertical="center"/>
    </xf>
    <xf numFmtId="0" fontId="9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6" fillId="5" borderId="2" xfId="4" applyFont="1" applyBorder="1" applyAlignment="1">
      <alignment horizontal="left" vertical="center"/>
    </xf>
    <xf numFmtId="0" fontId="6" fillId="5" borderId="3" xfId="4" applyFont="1" applyBorder="1" applyAlignment="1">
      <alignment horizontal="left" vertical="center"/>
    </xf>
    <xf numFmtId="0" fontId="6" fillId="5" borderId="4" xfId="4" applyFont="1" applyBorder="1" applyAlignment="1">
      <alignment horizontal="left" vertical="center"/>
    </xf>
    <xf numFmtId="0" fontId="6" fillId="10" borderId="2" xfId="9" applyFont="1" applyBorder="1" applyAlignment="1">
      <alignment horizontal="center" vertical="center"/>
    </xf>
    <xf numFmtId="0" fontId="6" fillId="10" borderId="3" xfId="9" applyFont="1" applyBorder="1" applyAlignment="1">
      <alignment horizontal="center" vertical="center"/>
    </xf>
    <xf numFmtId="0" fontId="6" fillId="10" borderId="4" xfId="9" applyFont="1" applyBorder="1" applyAlignment="1">
      <alignment horizontal="center" vertical="center"/>
    </xf>
    <xf numFmtId="0" fontId="6" fillId="10" borderId="2" xfId="9" applyFont="1" applyBorder="1" applyAlignment="1">
      <alignment horizontal="left" vertical="center"/>
    </xf>
    <xf numFmtId="0" fontId="6" fillId="10" borderId="3" xfId="9" applyFont="1" applyBorder="1" applyAlignment="1">
      <alignment horizontal="left" vertical="center"/>
    </xf>
    <xf numFmtId="0" fontId="6" fillId="10" borderId="4" xfId="9" applyFont="1" applyBorder="1" applyAlignment="1">
      <alignment horizontal="left" vertical="center"/>
    </xf>
  </cellXfs>
  <cellStyles count="15">
    <cellStyle name="20% - Accent6" xfId="14" builtinId="50"/>
    <cellStyle name="40% - Accent1" xfId="3" builtinId="31"/>
    <cellStyle name="40% - Accent2" xfId="4" builtinId="35"/>
    <cellStyle name="40% - Accent3" xfId="6" builtinId="39"/>
    <cellStyle name="40% - Accent4" xfId="7" builtinId="43"/>
    <cellStyle name="40% - Accent5" xfId="8" builtinId="47"/>
    <cellStyle name="40% - Accent6" xfId="10" builtinId="51"/>
    <cellStyle name="60% - Accent2" xfId="5" builtinId="36"/>
    <cellStyle name="60% - Accent5" xfId="9" builtinId="48"/>
    <cellStyle name="60% - Accent6" xfId="11" builtinId="52"/>
    <cellStyle name="Bad" xfId="12" builtinId="27"/>
    <cellStyle name="Good" xfId="1" builtinId="26"/>
    <cellStyle name="Neutral" xfId="13" builtinId="28"/>
    <cellStyle name="Normal" xfId="0" builtinId="0"/>
    <cellStyle name="Note" xfId="2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7812</xdr:colOff>
      <xdr:row>2</xdr:row>
      <xdr:rowOff>170518</xdr:rowOff>
    </xdr:from>
    <xdr:to>
      <xdr:col>4</xdr:col>
      <xdr:colOff>1019176</xdr:colOff>
      <xdr:row>6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24D51568-B2CA-44DC-BB3E-90849587EB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03812" y="551518"/>
          <a:ext cx="1011364" cy="781982"/>
        </a:xfrm>
        <a:prstGeom prst="rect">
          <a:avLst/>
        </a:prstGeom>
      </xdr:spPr>
    </xdr:pic>
    <xdr:clientData/>
  </xdr:twoCellAnchor>
  <xdr:twoCellAnchor>
    <xdr:from>
      <xdr:col>3</xdr:col>
      <xdr:colOff>2638425</xdr:colOff>
      <xdr:row>6</xdr:row>
      <xdr:rowOff>176292</xdr:rowOff>
    </xdr:from>
    <xdr:to>
      <xdr:col>7</xdr:col>
      <xdr:colOff>906442</xdr:colOff>
      <xdr:row>7</xdr:row>
      <xdr:rowOff>19050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9D73171-DA16-436B-B712-3C5F9710801F}"/>
            </a:ext>
          </a:extLst>
        </xdr:cNvPr>
        <xdr:cNvCxnSpPr/>
      </xdr:nvCxnSpPr>
      <xdr:spPr>
        <a:xfrm flipV="1">
          <a:off x="6010275" y="1347867"/>
          <a:ext cx="6421417" cy="42783"/>
        </a:xfrm>
        <a:prstGeom prst="line">
          <a:avLst/>
        </a:prstGeom>
        <a:ln w="57150"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P297"/>
  <sheetViews>
    <sheetView tabSelected="1" zoomScale="82" zoomScaleNormal="82" workbookViewId="0">
      <selection activeCell="R41" sqref="R41"/>
    </sheetView>
  </sheetViews>
  <sheetFormatPr defaultRowHeight="15" x14ac:dyDescent="0.25"/>
  <cols>
    <col min="2" max="2" width="34" customWidth="1"/>
    <col min="3" max="3" width="7.42578125" customWidth="1"/>
    <col min="4" max="4" width="40.85546875" customWidth="1"/>
    <col min="5" max="5" width="68.140625" customWidth="1"/>
    <col min="6" max="8" width="15.140625" customWidth="1"/>
    <col min="9" max="10" width="15.140625" style="16" customWidth="1"/>
    <col min="11" max="16" width="15.140625" customWidth="1"/>
  </cols>
  <sheetData>
    <row r="2" spans="2:16" x14ac:dyDescent="0.25">
      <c r="B2" s="67"/>
      <c r="C2" s="67"/>
      <c r="D2" s="67"/>
      <c r="E2" s="67"/>
      <c r="F2" s="67"/>
      <c r="G2" s="67"/>
    </row>
    <row r="3" spans="2:16" x14ac:dyDescent="0.25">
      <c r="B3" s="67"/>
      <c r="C3" s="67"/>
      <c r="D3" s="67"/>
      <c r="E3" s="67"/>
      <c r="F3" s="67"/>
      <c r="G3" s="67"/>
    </row>
    <row r="4" spans="2:16" ht="15.75" x14ac:dyDescent="0.25">
      <c r="B4" s="68" t="s">
        <v>0</v>
      </c>
      <c r="C4" s="68"/>
      <c r="D4" s="68"/>
      <c r="E4" s="68"/>
      <c r="F4" s="68"/>
      <c r="G4" s="68"/>
      <c r="H4" s="68"/>
      <c r="I4" s="68"/>
      <c r="J4" s="68"/>
      <c r="K4" s="68"/>
      <c r="L4" s="68"/>
      <c r="M4" s="68"/>
      <c r="N4" s="68"/>
      <c r="O4" s="68"/>
      <c r="P4" s="68"/>
    </row>
    <row r="5" spans="2:16" ht="15.75" x14ac:dyDescent="0.25">
      <c r="B5" s="68" t="s">
        <v>1</v>
      </c>
      <c r="C5" s="68"/>
      <c r="D5" s="68"/>
      <c r="E5" s="68"/>
      <c r="F5" s="68"/>
      <c r="G5" s="68"/>
      <c r="H5" s="68"/>
      <c r="I5" s="68"/>
      <c r="J5" s="68"/>
      <c r="K5" s="68"/>
      <c r="L5" s="68"/>
      <c r="M5" s="68"/>
      <c r="N5" s="68"/>
      <c r="O5" s="68"/>
      <c r="P5" s="68"/>
    </row>
    <row r="6" spans="2:16" ht="15.75" x14ac:dyDescent="0.25">
      <c r="B6" s="69" t="s">
        <v>2</v>
      </c>
      <c r="C6" s="69"/>
      <c r="D6" s="69"/>
      <c r="E6" s="69"/>
      <c r="F6" s="69"/>
      <c r="G6" s="69"/>
      <c r="H6" s="69"/>
      <c r="I6" s="69"/>
      <c r="J6" s="69"/>
      <c r="K6" s="69"/>
      <c r="L6" s="69"/>
      <c r="M6" s="69"/>
      <c r="N6" s="69"/>
      <c r="O6" s="69"/>
      <c r="P6" s="69"/>
    </row>
    <row r="7" spans="2:16" ht="15.75" x14ac:dyDescent="0.25">
      <c r="B7" s="69" t="s">
        <v>3</v>
      </c>
      <c r="C7" s="69"/>
      <c r="D7" s="69"/>
      <c r="E7" s="69"/>
      <c r="F7" s="69"/>
      <c r="G7" s="69"/>
      <c r="H7" s="69"/>
      <c r="I7" s="69"/>
      <c r="J7" s="69"/>
      <c r="K7" s="69"/>
      <c r="L7" s="69"/>
      <c r="M7" s="69"/>
      <c r="N7" s="69"/>
      <c r="O7" s="69"/>
      <c r="P7" s="69"/>
    </row>
    <row r="8" spans="2:16" x14ac:dyDescent="0.25">
      <c r="B8" s="67"/>
      <c r="C8" s="67"/>
      <c r="D8" s="67"/>
      <c r="E8" s="67"/>
      <c r="F8" s="67"/>
      <c r="G8" s="67"/>
    </row>
    <row r="9" spans="2:16" ht="15.75" x14ac:dyDescent="0.25">
      <c r="B9" s="71" t="s">
        <v>4</v>
      </c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</row>
    <row r="10" spans="2:16" ht="15.75" x14ac:dyDescent="0.25">
      <c r="B10" s="72" t="s">
        <v>5</v>
      </c>
      <c r="C10" s="72"/>
      <c r="D10" s="72"/>
      <c r="E10" s="72"/>
      <c r="F10" s="72"/>
      <c r="G10" s="72"/>
      <c r="H10" s="1"/>
      <c r="I10" s="1"/>
      <c r="J10" s="1"/>
      <c r="K10" s="1"/>
      <c r="L10" s="1"/>
      <c r="M10" s="1"/>
      <c r="N10" s="1"/>
      <c r="O10" s="1"/>
      <c r="P10" s="1"/>
    </row>
    <row r="11" spans="2:16" ht="15.75" x14ac:dyDescent="0.25">
      <c r="C11" s="1"/>
      <c r="D11" s="1"/>
      <c r="E11" s="1"/>
      <c r="F11" s="1"/>
      <c r="G11" s="1"/>
    </row>
    <row r="12" spans="2:16" x14ac:dyDescent="0.25">
      <c r="C12" s="84" t="s">
        <v>6</v>
      </c>
      <c r="D12" s="84" t="s">
        <v>7</v>
      </c>
      <c r="E12" s="87" t="s">
        <v>8</v>
      </c>
      <c r="F12" s="73" t="s">
        <v>9</v>
      </c>
      <c r="G12" s="74" t="s">
        <v>10</v>
      </c>
      <c r="H12" s="70" t="s">
        <v>11</v>
      </c>
      <c r="I12" s="70" t="s">
        <v>280</v>
      </c>
      <c r="J12" s="75" t="s">
        <v>281</v>
      </c>
      <c r="K12" s="70" t="s">
        <v>279</v>
      </c>
    </row>
    <row r="13" spans="2:16" x14ac:dyDescent="0.25">
      <c r="C13" s="85"/>
      <c r="D13" s="85"/>
      <c r="E13" s="88"/>
      <c r="F13" s="73"/>
      <c r="G13" s="74"/>
      <c r="H13" s="70"/>
      <c r="I13" s="70"/>
      <c r="J13" s="76"/>
      <c r="K13" s="70"/>
    </row>
    <row r="14" spans="2:16" x14ac:dyDescent="0.25">
      <c r="C14" s="86"/>
      <c r="D14" s="86"/>
      <c r="E14" s="89"/>
      <c r="F14" s="73"/>
      <c r="G14" s="74"/>
      <c r="H14" s="70"/>
      <c r="I14" s="70"/>
      <c r="J14" s="77"/>
      <c r="K14" s="70"/>
    </row>
    <row r="15" spans="2:16" ht="15.75" x14ac:dyDescent="0.25">
      <c r="C15" s="90">
        <v>1</v>
      </c>
      <c r="D15" s="93" t="s">
        <v>12</v>
      </c>
      <c r="E15" s="17" t="s">
        <v>13</v>
      </c>
      <c r="F15" s="2">
        <f ca="1">F15:K23744</f>
        <v>0</v>
      </c>
      <c r="G15" s="31">
        <v>43</v>
      </c>
      <c r="H15" s="46">
        <v>17</v>
      </c>
      <c r="I15" s="46">
        <v>21</v>
      </c>
      <c r="J15" s="46">
        <v>29</v>
      </c>
      <c r="K15" s="32">
        <v>110</v>
      </c>
    </row>
    <row r="16" spans="2:16" ht="15.75" x14ac:dyDescent="0.25">
      <c r="C16" s="91"/>
      <c r="D16" s="94"/>
      <c r="E16" s="17" t="s">
        <v>14</v>
      </c>
      <c r="F16" s="2">
        <v>43</v>
      </c>
      <c r="G16" s="31">
        <v>43</v>
      </c>
      <c r="H16" s="46">
        <v>17</v>
      </c>
      <c r="I16" s="46">
        <v>19</v>
      </c>
      <c r="J16" s="46">
        <v>13</v>
      </c>
      <c r="K16" s="32">
        <f t="shared" ref="K16:K78" si="0">SUM(F16:J16)</f>
        <v>135</v>
      </c>
    </row>
    <row r="17" spans="3:11" ht="15.75" x14ac:dyDescent="0.25">
      <c r="C17" s="91"/>
      <c r="D17" s="94"/>
      <c r="E17" s="17" t="s">
        <v>15</v>
      </c>
      <c r="F17" s="2">
        <v>0</v>
      </c>
      <c r="G17" s="31">
        <v>0</v>
      </c>
      <c r="H17" s="46">
        <v>0</v>
      </c>
      <c r="I17" s="46">
        <v>2</v>
      </c>
      <c r="J17" s="46">
        <v>8</v>
      </c>
      <c r="K17" s="32">
        <f t="shared" si="0"/>
        <v>10</v>
      </c>
    </row>
    <row r="18" spans="3:11" ht="15.75" x14ac:dyDescent="0.25">
      <c r="C18" s="92"/>
      <c r="D18" s="95"/>
      <c r="E18" s="17" t="s">
        <v>16</v>
      </c>
      <c r="F18" s="2">
        <v>1</v>
      </c>
      <c r="G18" s="31">
        <v>0</v>
      </c>
      <c r="H18" s="46">
        <v>0</v>
      </c>
      <c r="I18" s="46">
        <v>0</v>
      </c>
      <c r="J18" s="46">
        <v>8</v>
      </c>
      <c r="K18" s="32">
        <f t="shared" si="0"/>
        <v>9</v>
      </c>
    </row>
    <row r="19" spans="3:11" ht="15.75" x14ac:dyDescent="0.25">
      <c r="C19" s="96">
        <v>2</v>
      </c>
      <c r="D19" s="99" t="s">
        <v>17</v>
      </c>
      <c r="E19" s="18" t="s">
        <v>13</v>
      </c>
      <c r="F19" s="3">
        <v>0</v>
      </c>
      <c r="G19" s="33">
        <v>0</v>
      </c>
      <c r="H19" s="48">
        <v>0</v>
      </c>
      <c r="I19" s="48">
        <v>0</v>
      </c>
      <c r="J19" s="48">
        <v>0</v>
      </c>
      <c r="K19" s="32">
        <f t="shared" si="0"/>
        <v>0</v>
      </c>
    </row>
    <row r="20" spans="3:11" ht="15.75" x14ac:dyDescent="0.25">
      <c r="C20" s="97"/>
      <c r="D20" s="100"/>
      <c r="E20" s="18" t="s">
        <v>18</v>
      </c>
      <c r="F20" s="3">
        <v>0</v>
      </c>
      <c r="G20" s="33">
        <v>0</v>
      </c>
      <c r="H20" s="48">
        <v>0</v>
      </c>
      <c r="I20" s="48">
        <v>0</v>
      </c>
      <c r="J20" s="48">
        <v>0</v>
      </c>
      <c r="K20" s="32">
        <f t="shared" si="0"/>
        <v>0</v>
      </c>
    </row>
    <row r="21" spans="3:11" ht="15.75" x14ac:dyDescent="0.25">
      <c r="C21" s="97"/>
      <c r="D21" s="100"/>
      <c r="E21" s="18" t="s">
        <v>19</v>
      </c>
      <c r="F21" s="3">
        <v>0</v>
      </c>
      <c r="G21" s="33">
        <v>0</v>
      </c>
      <c r="H21" s="48">
        <v>0</v>
      </c>
      <c r="I21" s="48">
        <v>0</v>
      </c>
      <c r="J21" s="48">
        <v>0</v>
      </c>
      <c r="K21" s="32">
        <f t="shared" si="0"/>
        <v>0</v>
      </c>
    </row>
    <row r="22" spans="3:11" ht="15.75" x14ac:dyDescent="0.25">
      <c r="C22" s="97"/>
      <c r="D22" s="100"/>
      <c r="E22" s="18" t="s">
        <v>20</v>
      </c>
      <c r="F22" s="3">
        <v>0</v>
      </c>
      <c r="G22" s="33">
        <v>0</v>
      </c>
      <c r="H22" s="48">
        <v>0</v>
      </c>
      <c r="I22" s="48">
        <v>0</v>
      </c>
      <c r="J22" s="48">
        <v>0</v>
      </c>
      <c r="K22" s="32">
        <f t="shared" si="0"/>
        <v>0</v>
      </c>
    </row>
    <row r="23" spans="3:11" ht="15.75" x14ac:dyDescent="0.25">
      <c r="C23" s="98"/>
      <c r="D23" s="101"/>
      <c r="E23" s="18" t="s">
        <v>21</v>
      </c>
      <c r="F23" s="3">
        <v>0</v>
      </c>
      <c r="G23" s="33">
        <v>0</v>
      </c>
      <c r="H23" s="48">
        <v>0</v>
      </c>
      <c r="I23" s="48">
        <v>0</v>
      </c>
      <c r="J23" s="48">
        <v>0</v>
      </c>
      <c r="K23" s="32">
        <f t="shared" si="0"/>
        <v>0</v>
      </c>
    </row>
    <row r="24" spans="3:11" ht="15.75" x14ac:dyDescent="0.25">
      <c r="C24" s="78">
        <v>3</v>
      </c>
      <c r="D24" s="81" t="s">
        <v>22</v>
      </c>
      <c r="E24" s="19" t="s">
        <v>23</v>
      </c>
      <c r="F24" s="4">
        <v>0</v>
      </c>
      <c r="G24" s="34">
        <v>0</v>
      </c>
      <c r="H24" s="51">
        <v>0</v>
      </c>
      <c r="I24" s="51">
        <v>0</v>
      </c>
      <c r="J24" s="51">
        <v>0</v>
      </c>
      <c r="K24" s="32">
        <f t="shared" si="0"/>
        <v>0</v>
      </c>
    </row>
    <row r="25" spans="3:11" ht="15.75" x14ac:dyDescent="0.25">
      <c r="C25" s="79"/>
      <c r="D25" s="82"/>
      <c r="E25" s="19" t="s">
        <v>24</v>
      </c>
      <c r="F25" s="4">
        <v>0</v>
      </c>
      <c r="G25" s="34">
        <v>0</v>
      </c>
      <c r="H25" s="51">
        <v>0</v>
      </c>
      <c r="I25" s="51">
        <v>0</v>
      </c>
      <c r="J25" s="51">
        <v>0</v>
      </c>
      <c r="K25" s="32">
        <f t="shared" si="0"/>
        <v>0</v>
      </c>
    </row>
    <row r="26" spans="3:11" ht="15.75" x14ac:dyDescent="0.25">
      <c r="C26" s="79"/>
      <c r="D26" s="82"/>
      <c r="E26" s="19" t="s">
        <v>25</v>
      </c>
      <c r="F26" s="4">
        <v>0</v>
      </c>
      <c r="G26" s="34">
        <v>0</v>
      </c>
      <c r="H26" s="51">
        <v>0</v>
      </c>
      <c r="I26" s="51">
        <v>0</v>
      </c>
      <c r="J26" s="51">
        <v>0</v>
      </c>
      <c r="K26" s="32">
        <f t="shared" si="0"/>
        <v>0</v>
      </c>
    </row>
    <row r="27" spans="3:11" ht="15.75" x14ac:dyDescent="0.25">
      <c r="C27" s="79"/>
      <c r="D27" s="82"/>
      <c r="E27" s="19" t="s">
        <v>26</v>
      </c>
      <c r="F27" s="4">
        <v>0</v>
      </c>
      <c r="G27" s="34">
        <v>0</v>
      </c>
      <c r="H27" s="51">
        <v>0</v>
      </c>
      <c r="I27" s="51">
        <v>0</v>
      </c>
      <c r="J27" s="51">
        <v>0</v>
      </c>
      <c r="K27" s="32">
        <f t="shared" si="0"/>
        <v>0</v>
      </c>
    </row>
    <row r="28" spans="3:11" ht="15.75" x14ac:dyDescent="0.25">
      <c r="C28" s="80"/>
      <c r="D28" s="83"/>
      <c r="E28" s="19" t="s">
        <v>27</v>
      </c>
      <c r="F28" s="4">
        <v>0</v>
      </c>
      <c r="G28" s="34">
        <v>0</v>
      </c>
      <c r="H28" s="51">
        <v>0</v>
      </c>
      <c r="I28" s="51">
        <v>0</v>
      </c>
      <c r="J28" s="51">
        <v>0</v>
      </c>
      <c r="K28" s="32">
        <f t="shared" si="0"/>
        <v>0</v>
      </c>
    </row>
    <row r="29" spans="3:11" ht="15.75" x14ac:dyDescent="0.25">
      <c r="C29" s="102">
        <v>4</v>
      </c>
      <c r="D29" s="105" t="s">
        <v>28</v>
      </c>
      <c r="E29" s="20" t="s">
        <v>23</v>
      </c>
      <c r="F29" s="5">
        <v>0</v>
      </c>
      <c r="G29" s="35">
        <v>0</v>
      </c>
      <c r="H29" s="54">
        <v>0</v>
      </c>
      <c r="I29" s="54">
        <v>0</v>
      </c>
      <c r="J29" s="54">
        <v>2</v>
      </c>
      <c r="K29" s="32">
        <f t="shared" si="0"/>
        <v>2</v>
      </c>
    </row>
    <row r="30" spans="3:11" ht="15.75" x14ac:dyDescent="0.25">
      <c r="C30" s="103"/>
      <c r="D30" s="106"/>
      <c r="E30" s="20" t="s">
        <v>29</v>
      </c>
      <c r="F30" s="5">
        <v>0</v>
      </c>
      <c r="G30" s="35">
        <v>0</v>
      </c>
      <c r="H30" s="54">
        <v>0</v>
      </c>
      <c r="I30" s="54">
        <v>0</v>
      </c>
      <c r="J30" s="54">
        <v>1</v>
      </c>
      <c r="K30" s="32">
        <f t="shared" si="0"/>
        <v>1</v>
      </c>
    </row>
    <row r="31" spans="3:11" ht="15.75" x14ac:dyDescent="0.25">
      <c r="C31" s="103"/>
      <c r="D31" s="106"/>
      <c r="E31" s="20" t="s">
        <v>30</v>
      </c>
      <c r="F31" s="5">
        <v>0</v>
      </c>
      <c r="G31" s="35">
        <v>0</v>
      </c>
      <c r="H31" s="54">
        <v>0</v>
      </c>
      <c r="I31" s="54">
        <v>0</v>
      </c>
      <c r="J31" s="54">
        <v>0</v>
      </c>
      <c r="K31" s="32">
        <f t="shared" si="0"/>
        <v>0</v>
      </c>
    </row>
    <row r="32" spans="3:11" ht="15.75" x14ac:dyDescent="0.25">
      <c r="C32" s="103"/>
      <c r="D32" s="106"/>
      <c r="E32" s="20" t="s">
        <v>31</v>
      </c>
      <c r="F32" s="5">
        <v>0</v>
      </c>
      <c r="G32" s="35">
        <v>0</v>
      </c>
      <c r="H32" s="54">
        <v>0</v>
      </c>
      <c r="I32" s="54">
        <v>0</v>
      </c>
      <c r="J32" s="54">
        <v>0</v>
      </c>
      <c r="K32" s="32">
        <f t="shared" si="0"/>
        <v>0</v>
      </c>
    </row>
    <row r="33" spans="3:11" ht="15.75" x14ac:dyDescent="0.25">
      <c r="C33" s="103"/>
      <c r="D33" s="106"/>
      <c r="E33" s="20" t="s">
        <v>32</v>
      </c>
      <c r="F33" s="5">
        <v>0</v>
      </c>
      <c r="G33" s="35">
        <v>0</v>
      </c>
      <c r="H33" s="54">
        <v>0</v>
      </c>
      <c r="I33" s="54">
        <v>0</v>
      </c>
      <c r="J33" s="54">
        <v>1</v>
      </c>
      <c r="K33" s="32">
        <f t="shared" si="0"/>
        <v>1</v>
      </c>
    </row>
    <row r="34" spans="3:11" ht="15.75" x14ac:dyDescent="0.25">
      <c r="C34" s="104"/>
      <c r="D34" s="107"/>
      <c r="E34" s="20" t="s">
        <v>33</v>
      </c>
      <c r="F34" s="5">
        <v>0</v>
      </c>
      <c r="G34" s="35">
        <v>0</v>
      </c>
      <c r="H34" s="54">
        <v>0</v>
      </c>
      <c r="I34" s="54">
        <v>0</v>
      </c>
      <c r="J34" s="54">
        <v>0</v>
      </c>
      <c r="K34" s="32">
        <f t="shared" si="0"/>
        <v>0</v>
      </c>
    </row>
    <row r="35" spans="3:11" ht="15.75" x14ac:dyDescent="0.25">
      <c r="C35" s="108">
        <v>5</v>
      </c>
      <c r="D35" s="111" t="s">
        <v>34</v>
      </c>
      <c r="E35" s="21" t="s">
        <v>23</v>
      </c>
      <c r="F35" s="6">
        <v>1</v>
      </c>
      <c r="G35" s="36">
        <v>1</v>
      </c>
      <c r="H35" s="47">
        <v>1</v>
      </c>
      <c r="I35" s="47">
        <v>0</v>
      </c>
      <c r="J35" s="47">
        <v>1</v>
      </c>
      <c r="K35" s="32">
        <f t="shared" si="0"/>
        <v>4</v>
      </c>
    </row>
    <row r="36" spans="3:11" ht="15.75" x14ac:dyDescent="0.25">
      <c r="C36" s="109"/>
      <c r="D36" s="112"/>
      <c r="E36" s="21" t="s">
        <v>35</v>
      </c>
      <c r="F36" s="6">
        <v>1</v>
      </c>
      <c r="G36" s="36">
        <v>1</v>
      </c>
      <c r="H36" s="47">
        <v>1</v>
      </c>
      <c r="I36" s="47">
        <v>0</v>
      </c>
      <c r="J36" s="47">
        <v>1</v>
      </c>
      <c r="K36" s="32">
        <f t="shared" si="0"/>
        <v>4</v>
      </c>
    </row>
    <row r="37" spans="3:11" ht="15.75" x14ac:dyDescent="0.25">
      <c r="C37" s="109"/>
      <c r="D37" s="112"/>
      <c r="E37" s="21" t="s">
        <v>36</v>
      </c>
      <c r="F37" s="6">
        <v>0</v>
      </c>
      <c r="G37" s="36">
        <v>0</v>
      </c>
      <c r="H37" s="47">
        <v>0</v>
      </c>
      <c r="I37" s="47">
        <v>0</v>
      </c>
      <c r="J37" s="47">
        <v>0</v>
      </c>
      <c r="K37" s="32">
        <f t="shared" si="0"/>
        <v>0</v>
      </c>
    </row>
    <row r="38" spans="3:11" ht="15.75" x14ac:dyDescent="0.25">
      <c r="C38" s="109"/>
      <c r="D38" s="112"/>
      <c r="E38" s="21" t="s">
        <v>37</v>
      </c>
      <c r="F38" s="6">
        <v>0</v>
      </c>
      <c r="G38" s="36">
        <v>0</v>
      </c>
      <c r="H38" s="47">
        <v>0</v>
      </c>
      <c r="I38" s="47">
        <v>0</v>
      </c>
      <c r="J38" s="47">
        <v>0</v>
      </c>
      <c r="K38" s="32">
        <f t="shared" si="0"/>
        <v>0</v>
      </c>
    </row>
    <row r="39" spans="3:11" ht="15.75" x14ac:dyDescent="0.25">
      <c r="C39" s="109"/>
      <c r="D39" s="112"/>
      <c r="E39" s="21" t="s">
        <v>38</v>
      </c>
      <c r="F39" s="6">
        <v>0</v>
      </c>
      <c r="G39" s="36">
        <v>0</v>
      </c>
      <c r="H39" s="47">
        <v>0</v>
      </c>
      <c r="I39" s="47">
        <v>0</v>
      </c>
      <c r="J39" s="47">
        <v>0</v>
      </c>
      <c r="K39" s="32">
        <f t="shared" si="0"/>
        <v>0</v>
      </c>
    </row>
    <row r="40" spans="3:11" ht="15.75" x14ac:dyDescent="0.25">
      <c r="C40" s="109"/>
      <c r="D40" s="112"/>
      <c r="E40" s="21" t="s">
        <v>39</v>
      </c>
      <c r="F40" s="6">
        <v>0</v>
      </c>
      <c r="G40" s="36">
        <v>0</v>
      </c>
      <c r="H40" s="47">
        <v>0</v>
      </c>
      <c r="I40" s="47">
        <v>0</v>
      </c>
      <c r="J40" s="47">
        <v>0</v>
      </c>
      <c r="K40" s="32">
        <f t="shared" si="0"/>
        <v>0</v>
      </c>
    </row>
    <row r="41" spans="3:11" ht="15.75" x14ac:dyDescent="0.25">
      <c r="C41" s="110"/>
      <c r="D41" s="113"/>
      <c r="E41" s="21" t="s">
        <v>21</v>
      </c>
      <c r="F41" s="6">
        <v>0</v>
      </c>
      <c r="G41" s="36">
        <v>0</v>
      </c>
      <c r="H41" s="47">
        <v>0</v>
      </c>
      <c r="I41" s="47">
        <v>0</v>
      </c>
      <c r="J41" s="47">
        <v>0</v>
      </c>
      <c r="K41" s="32">
        <f t="shared" si="0"/>
        <v>0</v>
      </c>
    </row>
    <row r="42" spans="3:11" ht="15.75" x14ac:dyDescent="0.25">
      <c r="C42" s="90">
        <v>6</v>
      </c>
      <c r="D42" s="93" t="s">
        <v>40</v>
      </c>
      <c r="E42" s="17" t="s">
        <v>41</v>
      </c>
      <c r="F42" s="2">
        <v>38</v>
      </c>
      <c r="G42" s="31">
        <v>40</v>
      </c>
      <c r="H42" s="46">
        <v>8</v>
      </c>
      <c r="I42" s="46">
        <v>0</v>
      </c>
      <c r="J42" s="46">
        <v>0</v>
      </c>
      <c r="K42" s="32">
        <f t="shared" si="0"/>
        <v>86</v>
      </c>
    </row>
    <row r="43" spans="3:11" ht="15.75" x14ac:dyDescent="0.25">
      <c r="C43" s="91"/>
      <c r="D43" s="94"/>
      <c r="E43" s="17" t="s">
        <v>42</v>
      </c>
      <c r="F43" s="2">
        <v>2</v>
      </c>
      <c r="G43" s="31">
        <v>5</v>
      </c>
      <c r="H43" s="46">
        <v>0</v>
      </c>
      <c r="I43" s="46">
        <v>0</v>
      </c>
      <c r="J43" s="46">
        <v>0</v>
      </c>
      <c r="K43" s="32">
        <f t="shared" si="0"/>
        <v>7</v>
      </c>
    </row>
    <row r="44" spans="3:11" ht="15.75" x14ac:dyDescent="0.25">
      <c r="C44" s="91"/>
      <c r="D44" s="94"/>
      <c r="E44" s="17" t="s">
        <v>43</v>
      </c>
      <c r="F44" s="2">
        <v>0</v>
      </c>
      <c r="G44" s="31">
        <v>0</v>
      </c>
      <c r="H44" s="46">
        <v>3</v>
      </c>
      <c r="I44" s="46">
        <v>0</v>
      </c>
      <c r="J44" s="46">
        <v>0</v>
      </c>
      <c r="K44" s="32">
        <f t="shared" si="0"/>
        <v>3</v>
      </c>
    </row>
    <row r="45" spans="3:11" ht="15.75" x14ac:dyDescent="0.25">
      <c r="C45" s="91"/>
      <c r="D45" s="94"/>
      <c r="E45" s="17" t="s">
        <v>44</v>
      </c>
      <c r="F45" s="2">
        <v>0</v>
      </c>
      <c r="G45" s="31">
        <v>13</v>
      </c>
      <c r="H45" s="46">
        <v>5</v>
      </c>
      <c r="I45" s="46">
        <v>0</v>
      </c>
      <c r="J45" s="46">
        <v>0</v>
      </c>
      <c r="K45" s="32">
        <f t="shared" si="0"/>
        <v>18</v>
      </c>
    </row>
    <row r="46" spans="3:11" ht="15.75" x14ac:dyDescent="0.25">
      <c r="C46" s="91"/>
      <c r="D46" s="94"/>
      <c r="E46" s="17" t="s">
        <v>45</v>
      </c>
      <c r="F46" s="2">
        <v>0</v>
      </c>
      <c r="G46" s="31">
        <v>0</v>
      </c>
      <c r="H46" s="46">
        <v>0</v>
      </c>
      <c r="I46" s="46">
        <v>0</v>
      </c>
      <c r="J46" s="46">
        <v>0</v>
      </c>
      <c r="K46" s="32">
        <f t="shared" si="0"/>
        <v>0</v>
      </c>
    </row>
    <row r="47" spans="3:11" ht="15.75" x14ac:dyDescent="0.25">
      <c r="C47" s="91"/>
      <c r="D47" s="94"/>
      <c r="E47" s="17" t="s">
        <v>46</v>
      </c>
      <c r="F47" s="2">
        <v>0</v>
      </c>
      <c r="G47" s="31">
        <v>0</v>
      </c>
      <c r="H47" s="46">
        <v>0</v>
      </c>
      <c r="I47" s="46">
        <v>0</v>
      </c>
      <c r="J47" s="46">
        <v>0</v>
      </c>
      <c r="K47" s="32">
        <f t="shared" si="0"/>
        <v>0</v>
      </c>
    </row>
    <row r="48" spans="3:11" ht="15.75" x14ac:dyDescent="0.25">
      <c r="C48" s="91"/>
      <c r="D48" s="94"/>
      <c r="E48" s="17" t="s">
        <v>47</v>
      </c>
      <c r="F48" s="2">
        <v>0</v>
      </c>
      <c r="G48" s="31">
        <v>0</v>
      </c>
      <c r="H48" s="46">
        <v>0</v>
      </c>
      <c r="I48" s="46">
        <v>0</v>
      </c>
      <c r="J48" s="46">
        <v>0</v>
      </c>
      <c r="K48" s="32">
        <f t="shared" si="0"/>
        <v>0</v>
      </c>
    </row>
    <row r="49" spans="3:11" ht="15.75" x14ac:dyDescent="0.25">
      <c r="C49" s="91"/>
      <c r="D49" s="94"/>
      <c r="E49" s="17" t="s">
        <v>48</v>
      </c>
      <c r="F49" s="2">
        <v>0</v>
      </c>
      <c r="G49" s="31">
        <v>0</v>
      </c>
      <c r="H49" s="46">
        <v>0</v>
      </c>
      <c r="I49" s="46">
        <v>0</v>
      </c>
      <c r="J49" s="46">
        <v>0</v>
      </c>
      <c r="K49" s="32">
        <f t="shared" si="0"/>
        <v>0</v>
      </c>
    </row>
    <row r="50" spans="3:11" ht="15.75" x14ac:dyDescent="0.25">
      <c r="C50" s="91"/>
      <c r="D50" s="94"/>
      <c r="E50" s="17" t="s">
        <v>49</v>
      </c>
      <c r="F50" s="2">
        <v>36</v>
      </c>
      <c r="G50" s="31">
        <v>3</v>
      </c>
      <c r="H50" s="46">
        <v>0</v>
      </c>
      <c r="I50" s="46">
        <v>0</v>
      </c>
      <c r="J50" s="46">
        <v>0</v>
      </c>
      <c r="K50" s="32">
        <f t="shared" si="0"/>
        <v>39</v>
      </c>
    </row>
    <row r="51" spans="3:11" ht="15.75" x14ac:dyDescent="0.25">
      <c r="C51" s="92"/>
      <c r="D51" s="95"/>
      <c r="E51" s="17" t="s">
        <v>50</v>
      </c>
      <c r="F51" s="2">
        <v>0</v>
      </c>
      <c r="G51" s="31">
        <v>19</v>
      </c>
      <c r="H51" s="46">
        <v>0</v>
      </c>
      <c r="I51" s="46">
        <v>0</v>
      </c>
      <c r="J51" s="46">
        <v>0</v>
      </c>
      <c r="K51" s="32">
        <f t="shared" si="0"/>
        <v>19</v>
      </c>
    </row>
    <row r="52" spans="3:11" ht="15.75" x14ac:dyDescent="0.25">
      <c r="C52" s="96">
        <v>7</v>
      </c>
      <c r="D52" s="99" t="s">
        <v>51</v>
      </c>
      <c r="E52" s="18" t="s">
        <v>41</v>
      </c>
      <c r="F52" s="3">
        <v>9</v>
      </c>
      <c r="G52" s="33">
        <v>0</v>
      </c>
      <c r="H52" s="48">
        <v>0</v>
      </c>
      <c r="I52" s="48">
        <v>10</v>
      </c>
      <c r="J52" s="48">
        <v>11</v>
      </c>
      <c r="K52" s="32">
        <f t="shared" si="0"/>
        <v>30</v>
      </c>
    </row>
    <row r="53" spans="3:11" ht="15.75" x14ac:dyDescent="0.25">
      <c r="C53" s="97"/>
      <c r="D53" s="100"/>
      <c r="E53" s="18" t="s">
        <v>52</v>
      </c>
      <c r="F53" s="3">
        <v>8</v>
      </c>
      <c r="G53" s="33">
        <v>0</v>
      </c>
      <c r="H53" s="48">
        <v>0</v>
      </c>
      <c r="I53" s="48">
        <v>8</v>
      </c>
      <c r="J53" s="48">
        <v>7</v>
      </c>
      <c r="K53" s="32">
        <f t="shared" si="0"/>
        <v>23</v>
      </c>
    </row>
    <row r="54" spans="3:11" ht="15.75" x14ac:dyDescent="0.25">
      <c r="C54" s="97"/>
      <c r="D54" s="100"/>
      <c r="E54" s="18" t="s">
        <v>53</v>
      </c>
      <c r="F54" s="3">
        <v>0</v>
      </c>
      <c r="G54" s="33">
        <v>0</v>
      </c>
      <c r="H54" s="48">
        <v>0</v>
      </c>
      <c r="I54" s="48">
        <v>0</v>
      </c>
      <c r="J54" s="48">
        <v>0</v>
      </c>
      <c r="K54" s="32">
        <f t="shared" si="0"/>
        <v>0</v>
      </c>
    </row>
    <row r="55" spans="3:11" ht="15.75" x14ac:dyDescent="0.25">
      <c r="C55" s="97"/>
      <c r="D55" s="100"/>
      <c r="E55" s="18" t="s">
        <v>54</v>
      </c>
      <c r="F55" s="3">
        <v>1</v>
      </c>
      <c r="G55" s="33">
        <v>0</v>
      </c>
      <c r="H55" s="48">
        <v>0</v>
      </c>
      <c r="I55" s="48">
        <v>2</v>
      </c>
      <c r="J55" s="48">
        <v>4</v>
      </c>
      <c r="K55" s="32">
        <f t="shared" si="0"/>
        <v>7</v>
      </c>
    </row>
    <row r="56" spans="3:11" ht="15.75" x14ac:dyDescent="0.25">
      <c r="C56" s="98"/>
      <c r="D56" s="101"/>
      <c r="E56" s="18" t="s">
        <v>21</v>
      </c>
      <c r="F56" s="3">
        <v>0</v>
      </c>
      <c r="G56" s="33">
        <v>0</v>
      </c>
      <c r="H56" s="48">
        <v>0</v>
      </c>
      <c r="I56" s="48">
        <v>0</v>
      </c>
      <c r="J56" s="48">
        <v>0</v>
      </c>
      <c r="K56" s="32">
        <f t="shared" si="0"/>
        <v>0</v>
      </c>
    </row>
    <row r="57" spans="3:11" ht="15.75" x14ac:dyDescent="0.25">
      <c r="C57" s="114">
        <v>8</v>
      </c>
      <c r="D57" s="117" t="s">
        <v>55</v>
      </c>
      <c r="E57" s="22" t="s">
        <v>41</v>
      </c>
      <c r="F57" s="7">
        <v>0</v>
      </c>
      <c r="G57" s="37">
        <v>0</v>
      </c>
      <c r="H57" s="56">
        <v>0</v>
      </c>
      <c r="I57" s="56">
        <v>0</v>
      </c>
      <c r="J57" s="56">
        <v>0</v>
      </c>
      <c r="K57" s="32">
        <f t="shared" si="0"/>
        <v>0</v>
      </c>
    </row>
    <row r="58" spans="3:11" ht="15.75" x14ac:dyDescent="0.25">
      <c r="C58" s="115"/>
      <c r="D58" s="118"/>
      <c r="E58" s="22" t="s">
        <v>56</v>
      </c>
      <c r="F58" s="7">
        <v>0</v>
      </c>
      <c r="G58" s="37">
        <v>0</v>
      </c>
      <c r="H58" s="56">
        <v>0</v>
      </c>
      <c r="I58" s="56">
        <v>0</v>
      </c>
      <c r="J58" s="56">
        <v>0</v>
      </c>
      <c r="K58" s="32">
        <f t="shared" si="0"/>
        <v>0</v>
      </c>
    </row>
    <row r="59" spans="3:11" ht="15.75" x14ac:dyDescent="0.25">
      <c r="C59" s="116"/>
      <c r="D59" s="119"/>
      <c r="E59" s="22" t="s">
        <v>21</v>
      </c>
      <c r="F59" s="7">
        <v>0</v>
      </c>
      <c r="G59" s="37">
        <v>0</v>
      </c>
      <c r="H59" s="56">
        <v>0</v>
      </c>
      <c r="I59" s="56">
        <v>0</v>
      </c>
      <c r="J59" s="56">
        <v>0</v>
      </c>
      <c r="K59" s="32">
        <f t="shared" si="0"/>
        <v>0</v>
      </c>
    </row>
    <row r="60" spans="3:11" ht="15.75" x14ac:dyDescent="0.25">
      <c r="C60" s="102">
        <v>9</v>
      </c>
      <c r="D60" s="105" t="s">
        <v>57</v>
      </c>
      <c r="E60" s="20" t="s">
        <v>41</v>
      </c>
      <c r="F60" s="5">
        <v>28</v>
      </c>
      <c r="G60" s="35">
        <v>28</v>
      </c>
      <c r="H60" s="54">
        <v>9</v>
      </c>
      <c r="I60" s="54">
        <v>6</v>
      </c>
      <c r="J60" s="54">
        <v>8</v>
      </c>
      <c r="K60" s="32">
        <f t="shared" si="0"/>
        <v>79</v>
      </c>
    </row>
    <row r="61" spans="3:11" ht="15.75" x14ac:dyDescent="0.25">
      <c r="C61" s="103"/>
      <c r="D61" s="106"/>
      <c r="E61" s="20" t="s">
        <v>58</v>
      </c>
      <c r="F61" s="5">
        <v>20</v>
      </c>
      <c r="G61" s="35">
        <v>23</v>
      </c>
      <c r="H61" s="54">
        <v>4</v>
      </c>
      <c r="I61" s="54">
        <v>0</v>
      </c>
      <c r="J61" s="54">
        <v>0</v>
      </c>
      <c r="K61" s="32">
        <f t="shared" si="0"/>
        <v>47</v>
      </c>
    </row>
    <row r="62" spans="3:11" ht="15.75" x14ac:dyDescent="0.25">
      <c r="C62" s="103"/>
      <c r="D62" s="106"/>
      <c r="E62" s="20" t="s">
        <v>59</v>
      </c>
      <c r="F62" s="5">
        <v>4</v>
      </c>
      <c r="G62" s="35">
        <v>4</v>
      </c>
      <c r="H62" s="54">
        <v>3</v>
      </c>
      <c r="I62" s="54">
        <v>1</v>
      </c>
      <c r="J62" s="54">
        <v>3</v>
      </c>
      <c r="K62" s="32">
        <f t="shared" si="0"/>
        <v>15</v>
      </c>
    </row>
    <row r="63" spans="3:11" ht="15.75" x14ac:dyDescent="0.25">
      <c r="C63" s="103"/>
      <c r="D63" s="106"/>
      <c r="E63" s="20" t="s">
        <v>60</v>
      </c>
      <c r="F63" s="5">
        <v>2</v>
      </c>
      <c r="G63" s="35">
        <v>0</v>
      </c>
      <c r="H63" s="54">
        <v>0</v>
      </c>
      <c r="I63" s="54">
        <v>1</v>
      </c>
      <c r="J63" s="54">
        <v>1</v>
      </c>
      <c r="K63" s="32">
        <f t="shared" si="0"/>
        <v>4</v>
      </c>
    </row>
    <row r="64" spans="3:11" ht="15.75" x14ac:dyDescent="0.25">
      <c r="C64" s="103"/>
      <c r="D64" s="106"/>
      <c r="E64" s="20" t="s">
        <v>61</v>
      </c>
      <c r="F64" s="5">
        <v>2</v>
      </c>
      <c r="G64" s="35">
        <v>1</v>
      </c>
      <c r="H64" s="54">
        <v>2</v>
      </c>
      <c r="I64" s="54">
        <v>0</v>
      </c>
      <c r="J64" s="54">
        <v>2</v>
      </c>
      <c r="K64" s="32">
        <f t="shared" si="0"/>
        <v>7</v>
      </c>
    </row>
    <row r="65" spans="3:11" ht="15.75" x14ac:dyDescent="0.25">
      <c r="C65" s="104"/>
      <c r="D65" s="107"/>
      <c r="E65" s="20" t="s">
        <v>62</v>
      </c>
      <c r="F65" s="5">
        <v>0</v>
      </c>
      <c r="G65" s="35">
        <v>0</v>
      </c>
      <c r="H65" s="54">
        <v>0</v>
      </c>
      <c r="I65" s="54">
        <v>0</v>
      </c>
      <c r="J65" s="54">
        <v>2</v>
      </c>
      <c r="K65" s="32">
        <f t="shared" si="0"/>
        <v>2</v>
      </c>
    </row>
    <row r="66" spans="3:11" ht="15.75" x14ac:dyDescent="0.25">
      <c r="C66" s="120">
        <v>10</v>
      </c>
      <c r="D66" s="123" t="s">
        <v>63</v>
      </c>
      <c r="E66" s="23" t="s">
        <v>64</v>
      </c>
      <c r="F66" s="8">
        <v>0</v>
      </c>
      <c r="G66" s="38">
        <v>0</v>
      </c>
      <c r="H66" s="57">
        <v>0</v>
      </c>
      <c r="I66" s="57">
        <v>0</v>
      </c>
      <c r="J66" s="57">
        <v>0</v>
      </c>
      <c r="K66" s="32">
        <f t="shared" si="0"/>
        <v>0</v>
      </c>
    </row>
    <row r="67" spans="3:11" ht="15.75" x14ac:dyDescent="0.25">
      <c r="C67" s="121"/>
      <c r="D67" s="124"/>
      <c r="E67" s="23" t="s">
        <v>65</v>
      </c>
      <c r="F67" s="8">
        <v>0</v>
      </c>
      <c r="G67" s="38">
        <v>0</v>
      </c>
      <c r="H67" s="57">
        <v>0</v>
      </c>
      <c r="I67" s="57">
        <v>0</v>
      </c>
      <c r="J67" s="57">
        <v>0</v>
      </c>
      <c r="K67" s="32">
        <f t="shared" si="0"/>
        <v>0</v>
      </c>
    </row>
    <row r="68" spans="3:11" ht="15.75" x14ac:dyDescent="0.25">
      <c r="C68" s="122"/>
      <c r="D68" s="125"/>
      <c r="E68" s="23" t="s">
        <v>66</v>
      </c>
      <c r="F68" s="8">
        <v>0</v>
      </c>
      <c r="G68" s="38">
        <v>0</v>
      </c>
      <c r="H68" s="57">
        <v>0</v>
      </c>
      <c r="I68" s="57">
        <v>0</v>
      </c>
      <c r="J68" s="57">
        <v>0</v>
      </c>
      <c r="K68" s="32">
        <f t="shared" si="0"/>
        <v>0</v>
      </c>
    </row>
    <row r="69" spans="3:11" ht="15.75" x14ac:dyDescent="0.25">
      <c r="C69" s="90">
        <v>11</v>
      </c>
      <c r="D69" s="93" t="s">
        <v>67</v>
      </c>
      <c r="E69" s="17" t="s">
        <v>41</v>
      </c>
      <c r="F69" s="2">
        <v>0</v>
      </c>
      <c r="G69" s="31">
        <v>0</v>
      </c>
      <c r="H69" s="46">
        <v>0</v>
      </c>
      <c r="I69" s="46">
        <v>0</v>
      </c>
      <c r="J69" s="46">
        <v>0</v>
      </c>
      <c r="K69" s="32">
        <f t="shared" si="0"/>
        <v>0</v>
      </c>
    </row>
    <row r="70" spans="3:11" ht="15.75" x14ac:dyDescent="0.25">
      <c r="C70" s="92"/>
      <c r="D70" s="95"/>
      <c r="E70" s="17" t="s">
        <v>33</v>
      </c>
      <c r="F70" s="2">
        <v>43</v>
      </c>
      <c r="G70" s="31">
        <v>160</v>
      </c>
      <c r="H70" s="46">
        <v>66</v>
      </c>
      <c r="I70" s="46">
        <v>0</v>
      </c>
      <c r="J70" s="46">
        <v>0</v>
      </c>
      <c r="K70" s="32">
        <f t="shared" si="0"/>
        <v>269</v>
      </c>
    </row>
    <row r="71" spans="3:11" ht="15.75" x14ac:dyDescent="0.25">
      <c r="C71" s="114">
        <v>12</v>
      </c>
      <c r="D71" s="117" t="s">
        <v>68</v>
      </c>
      <c r="E71" s="22" t="s">
        <v>41</v>
      </c>
      <c r="F71" s="7">
        <v>13</v>
      </c>
      <c r="G71" s="37">
        <v>27</v>
      </c>
      <c r="H71" s="56">
        <v>6</v>
      </c>
      <c r="I71" s="56">
        <v>152</v>
      </c>
      <c r="J71" s="56">
        <v>105</v>
      </c>
      <c r="K71" s="32">
        <f t="shared" si="0"/>
        <v>303</v>
      </c>
    </row>
    <row r="72" spans="3:11" ht="15.75" x14ac:dyDescent="0.25">
      <c r="C72" s="115"/>
      <c r="D72" s="118"/>
      <c r="E72" s="22" t="s">
        <v>69</v>
      </c>
      <c r="F72" s="7">
        <v>17</v>
      </c>
      <c r="G72" s="37">
        <v>41</v>
      </c>
      <c r="H72" s="56">
        <v>20</v>
      </c>
      <c r="I72" s="56">
        <v>18</v>
      </c>
      <c r="J72" s="56">
        <v>4</v>
      </c>
      <c r="K72" s="32">
        <f t="shared" si="0"/>
        <v>100</v>
      </c>
    </row>
    <row r="73" spans="3:11" ht="15.75" x14ac:dyDescent="0.25">
      <c r="C73" s="115"/>
      <c r="D73" s="118"/>
      <c r="E73" s="22" t="s">
        <v>70</v>
      </c>
      <c r="F73" s="7">
        <v>0</v>
      </c>
      <c r="G73" s="37">
        <v>31</v>
      </c>
      <c r="H73" s="56">
        <v>17</v>
      </c>
      <c r="I73" s="56">
        <v>53</v>
      </c>
      <c r="J73" s="56">
        <v>21</v>
      </c>
      <c r="K73" s="32">
        <f t="shared" si="0"/>
        <v>122</v>
      </c>
    </row>
    <row r="74" spans="3:11" ht="15.75" x14ac:dyDescent="0.25">
      <c r="C74" s="115"/>
      <c r="D74" s="118"/>
      <c r="E74" s="22" t="s">
        <v>71</v>
      </c>
      <c r="F74" s="7">
        <v>0</v>
      </c>
      <c r="G74" s="37">
        <v>0</v>
      </c>
      <c r="H74" s="56">
        <v>0</v>
      </c>
      <c r="I74" s="56">
        <v>23</v>
      </c>
      <c r="J74" s="56">
        <v>17</v>
      </c>
      <c r="K74" s="32">
        <f t="shared" si="0"/>
        <v>40</v>
      </c>
    </row>
    <row r="75" spans="3:11" ht="15.75" x14ac:dyDescent="0.25">
      <c r="C75" s="115"/>
      <c r="D75" s="118"/>
      <c r="E75" s="22" t="s">
        <v>72</v>
      </c>
      <c r="F75" s="7">
        <v>0</v>
      </c>
      <c r="G75" s="37">
        <v>0</v>
      </c>
      <c r="H75" s="56">
        <v>0</v>
      </c>
      <c r="I75" s="56">
        <v>0</v>
      </c>
      <c r="J75" s="56">
        <v>0</v>
      </c>
      <c r="K75" s="32">
        <f t="shared" si="0"/>
        <v>0</v>
      </c>
    </row>
    <row r="76" spans="3:11" ht="15.75" x14ac:dyDescent="0.25">
      <c r="C76" s="115"/>
      <c r="D76" s="118"/>
      <c r="E76" s="22" t="s">
        <v>73</v>
      </c>
      <c r="F76" s="7">
        <v>0</v>
      </c>
      <c r="G76" s="37">
        <v>0</v>
      </c>
      <c r="H76" s="56">
        <v>0</v>
      </c>
      <c r="I76" s="56">
        <v>0</v>
      </c>
      <c r="J76" s="56">
        <v>0</v>
      </c>
      <c r="K76" s="32">
        <f t="shared" si="0"/>
        <v>0</v>
      </c>
    </row>
    <row r="77" spans="3:11" ht="15.75" x14ac:dyDescent="0.25">
      <c r="C77" s="115"/>
      <c r="D77" s="118"/>
      <c r="E77" s="22" t="s">
        <v>74</v>
      </c>
      <c r="F77" s="7">
        <v>0</v>
      </c>
      <c r="G77" s="37">
        <v>0</v>
      </c>
      <c r="H77" s="56">
        <v>0</v>
      </c>
      <c r="I77" s="56">
        <v>0</v>
      </c>
      <c r="J77" s="56">
        <v>0</v>
      </c>
      <c r="K77" s="32">
        <f t="shared" si="0"/>
        <v>0</v>
      </c>
    </row>
    <row r="78" spans="3:11" ht="15.75" x14ac:dyDescent="0.25">
      <c r="C78" s="115"/>
      <c r="D78" s="118"/>
      <c r="E78" s="22" t="s">
        <v>75</v>
      </c>
      <c r="F78" s="7">
        <v>0</v>
      </c>
      <c r="G78" s="37">
        <v>0</v>
      </c>
      <c r="H78" s="56">
        <v>0</v>
      </c>
      <c r="I78" s="56">
        <v>0</v>
      </c>
      <c r="J78" s="56">
        <v>9</v>
      </c>
      <c r="K78" s="32">
        <f t="shared" si="0"/>
        <v>9</v>
      </c>
    </row>
    <row r="79" spans="3:11" ht="15.75" x14ac:dyDescent="0.25">
      <c r="C79" s="115"/>
      <c r="D79" s="118"/>
      <c r="E79" s="22" t="s">
        <v>76</v>
      </c>
      <c r="F79" s="7">
        <v>0</v>
      </c>
      <c r="G79" s="37">
        <v>0</v>
      </c>
      <c r="H79" s="56">
        <v>0</v>
      </c>
      <c r="I79" s="56">
        <v>0</v>
      </c>
      <c r="J79" s="56">
        <v>4</v>
      </c>
      <c r="K79" s="32">
        <f t="shared" ref="K79:K142" si="1">SUM(F79:J79)</f>
        <v>4</v>
      </c>
    </row>
    <row r="80" spans="3:11" ht="15.75" x14ac:dyDescent="0.25">
      <c r="C80" s="115"/>
      <c r="D80" s="118"/>
      <c r="E80" s="22" t="s">
        <v>77</v>
      </c>
      <c r="F80" s="7">
        <v>0</v>
      </c>
      <c r="G80" s="37">
        <v>17</v>
      </c>
      <c r="H80" s="56">
        <v>1</v>
      </c>
      <c r="I80" s="56">
        <v>0</v>
      </c>
      <c r="J80" s="56">
        <v>0</v>
      </c>
      <c r="K80" s="32">
        <f t="shared" si="1"/>
        <v>18</v>
      </c>
    </row>
    <row r="81" spans="3:11" ht="15.75" x14ac:dyDescent="0.25">
      <c r="C81" s="115"/>
      <c r="D81" s="118"/>
      <c r="E81" s="22" t="s">
        <v>78</v>
      </c>
      <c r="F81" s="7">
        <v>0</v>
      </c>
      <c r="G81" s="37">
        <v>0</v>
      </c>
      <c r="H81" s="56">
        <v>0</v>
      </c>
      <c r="I81" s="56">
        <v>2</v>
      </c>
      <c r="J81" s="56">
        <v>8</v>
      </c>
      <c r="K81" s="32">
        <f t="shared" si="1"/>
        <v>10</v>
      </c>
    </row>
    <row r="82" spans="3:11" ht="15.75" x14ac:dyDescent="0.25">
      <c r="C82" s="115"/>
      <c r="D82" s="118"/>
      <c r="E82" s="22" t="s">
        <v>79</v>
      </c>
      <c r="F82" s="7">
        <v>0</v>
      </c>
      <c r="G82" s="37">
        <v>0</v>
      </c>
      <c r="H82" s="56">
        <v>0</v>
      </c>
      <c r="I82" s="56">
        <v>0</v>
      </c>
      <c r="J82" s="56">
        <v>0</v>
      </c>
      <c r="K82" s="32">
        <f t="shared" si="1"/>
        <v>0</v>
      </c>
    </row>
    <row r="83" spans="3:11" ht="15.75" x14ac:dyDescent="0.25">
      <c r="C83" s="115"/>
      <c r="D83" s="118"/>
      <c r="E83" s="22" t="s">
        <v>80</v>
      </c>
      <c r="F83" s="7">
        <v>0</v>
      </c>
      <c r="G83" s="37">
        <v>2</v>
      </c>
      <c r="H83" s="56">
        <v>1</v>
      </c>
      <c r="I83" s="56">
        <v>0</v>
      </c>
      <c r="J83" s="56">
        <v>0</v>
      </c>
      <c r="K83" s="32">
        <f t="shared" si="1"/>
        <v>3</v>
      </c>
    </row>
    <row r="84" spans="3:11" ht="15.75" x14ac:dyDescent="0.25">
      <c r="C84" s="115"/>
      <c r="D84" s="118"/>
      <c r="E84" s="22" t="s">
        <v>81</v>
      </c>
      <c r="F84" s="7">
        <v>13</v>
      </c>
      <c r="G84" s="37">
        <v>42</v>
      </c>
      <c r="H84" s="56">
        <v>21</v>
      </c>
      <c r="I84" s="56">
        <v>3</v>
      </c>
      <c r="J84" s="56">
        <v>9</v>
      </c>
      <c r="K84" s="32">
        <f t="shared" si="1"/>
        <v>88</v>
      </c>
    </row>
    <row r="85" spans="3:11" ht="15.75" x14ac:dyDescent="0.25">
      <c r="C85" s="115"/>
      <c r="D85" s="118"/>
      <c r="E85" s="22" t="s">
        <v>82</v>
      </c>
      <c r="F85" s="7">
        <v>0</v>
      </c>
      <c r="G85" s="37">
        <v>0</v>
      </c>
      <c r="H85" s="56">
        <v>0</v>
      </c>
      <c r="I85" s="56">
        <v>53</v>
      </c>
      <c r="J85" s="56">
        <v>33</v>
      </c>
      <c r="K85" s="32">
        <f t="shared" si="1"/>
        <v>86</v>
      </c>
    </row>
    <row r="86" spans="3:11" ht="15.75" x14ac:dyDescent="0.25">
      <c r="C86" s="115"/>
      <c r="D86" s="118"/>
      <c r="E86" s="22" t="s">
        <v>83</v>
      </c>
      <c r="F86" s="7">
        <v>0</v>
      </c>
      <c r="G86" s="37">
        <v>0</v>
      </c>
      <c r="H86" s="56">
        <v>0</v>
      </c>
      <c r="I86" s="56">
        <v>0</v>
      </c>
      <c r="J86" s="56">
        <v>0</v>
      </c>
      <c r="K86" s="32">
        <f t="shared" si="1"/>
        <v>0</v>
      </c>
    </row>
    <row r="87" spans="3:11" ht="15.75" x14ac:dyDescent="0.25">
      <c r="C87" s="115"/>
      <c r="D87" s="118"/>
      <c r="E87" s="22" t="s">
        <v>66</v>
      </c>
      <c r="F87" s="7"/>
      <c r="G87" s="37"/>
      <c r="H87" s="58"/>
      <c r="I87" s="56">
        <v>0</v>
      </c>
      <c r="J87" s="56">
        <v>0</v>
      </c>
      <c r="K87" s="32">
        <f t="shared" si="1"/>
        <v>0</v>
      </c>
    </row>
    <row r="88" spans="3:11" ht="15.75" x14ac:dyDescent="0.25">
      <c r="C88" s="116"/>
      <c r="D88" s="119"/>
      <c r="E88" s="22" t="s">
        <v>84</v>
      </c>
      <c r="F88" s="7">
        <v>4</v>
      </c>
      <c r="G88" s="37">
        <v>0</v>
      </c>
      <c r="H88" s="56">
        <v>0</v>
      </c>
      <c r="I88" s="56">
        <v>107718054</v>
      </c>
      <c r="J88" s="56">
        <v>126294599</v>
      </c>
      <c r="K88" s="32">
        <f t="shared" si="1"/>
        <v>234012657</v>
      </c>
    </row>
    <row r="89" spans="3:11" ht="15.75" x14ac:dyDescent="0.25">
      <c r="C89" s="96">
        <v>13</v>
      </c>
      <c r="D89" s="99" t="s">
        <v>85</v>
      </c>
      <c r="E89" s="18" t="s">
        <v>41</v>
      </c>
      <c r="F89" s="3">
        <v>3</v>
      </c>
      <c r="G89" s="33">
        <v>0</v>
      </c>
      <c r="H89" s="48">
        <v>0</v>
      </c>
      <c r="I89" s="48">
        <v>0</v>
      </c>
      <c r="J89" s="48">
        <v>0</v>
      </c>
      <c r="K89" s="32">
        <f t="shared" si="1"/>
        <v>3</v>
      </c>
    </row>
    <row r="90" spans="3:11" ht="15.75" x14ac:dyDescent="0.25">
      <c r="C90" s="97"/>
      <c r="D90" s="100"/>
      <c r="E90" s="18" t="s">
        <v>86</v>
      </c>
      <c r="F90" s="3">
        <v>1</v>
      </c>
      <c r="G90" s="33">
        <v>0</v>
      </c>
      <c r="H90" s="48">
        <v>0</v>
      </c>
      <c r="I90" s="48">
        <v>0</v>
      </c>
      <c r="J90" s="48">
        <v>0</v>
      </c>
      <c r="K90" s="32">
        <f t="shared" si="1"/>
        <v>1</v>
      </c>
    </row>
    <row r="91" spans="3:11" ht="15.75" x14ac:dyDescent="0.25">
      <c r="C91" s="97"/>
      <c r="D91" s="100"/>
      <c r="E91" s="18" t="s">
        <v>87</v>
      </c>
      <c r="F91" s="3">
        <v>0</v>
      </c>
      <c r="G91" s="33">
        <v>0</v>
      </c>
      <c r="H91" s="48">
        <v>0</v>
      </c>
      <c r="I91" s="48">
        <v>0</v>
      </c>
      <c r="J91" s="48">
        <v>0</v>
      </c>
      <c r="K91" s="32">
        <f t="shared" si="1"/>
        <v>0</v>
      </c>
    </row>
    <row r="92" spans="3:11" ht="15.75" x14ac:dyDescent="0.25">
      <c r="C92" s="98"/>
      <c r="D92" s="101"/>
      <c r="E92" s="18" t="s">
        <v>33</v>
      </c>
      <c r="F92" s="3">
        <v>34</v>
      </c>
      <c r="G92" s="33">
        <v>25</v>
      </c>
      <c r="H92" s="48">
        <v>31</v>
      </c>
      <c r="I92" s="48">
        <v>0</v>
      </c>
      <c r="J92" s="48">
        <v>0</v>
      </c>
      <c r="K92" s="32">
        <f t="shared" si="1"/>
        <v>90</v>
      </c>
    </row>
    <row r="93" spans="3:11" ht="15.75" x14ac:dyDescent="0.25">
      <c r="C93" s="126">
        <v>14</v>
      </c>
      <c r="D93" s="129" t="s">
        <v>88</v>
      </c>
      <c r="E93" s="24" t="s">
        <v>41</v>
      </c>
      <c r="F93" s="9">
        <v>10</v>
      </c>
      <c r="G93" s="39">
        <v>9</v>
      </c>
      <c r="H93" s="53">
        <v>9</v>
      </c>
      <c r="I93" s="53">
        <v>102</v>
      </c>
      <c r="J93" s="53">
        <v>66</v>
      </c>
      <c r="K93" s="32">
        <f t="shared" si="1"/>
        <v>196</v>
      </c>
    </row>
    <row r="94" spans="3:11" ht="15.75" x14ac:dyDescent="0.25">
      <c r="C94" s="127"/>
      <c r="D94" s="130"/>
      <c r="E94" s="24" t="s">
        <v>89</v>
      </c>
      <c r="F94" s="9">
        <v>4</v>
      </c>
      <c r="G94" s="39">
        <v>2</v>
      </c>
      <c r="H94" s="53">
        <v>1</v>
      </c>
      <c r="I94" s="53">
        <v>34</v>
      </c>
      <c r="J94" s="53">
        <v>24</v>
      </c>
      <c r="K94" s="32">
        <f t="shared" si="1"/>
        <v>65</v>
      </c>
    </row>
    <row r="95" spans="3:11" ht="15.75" x14ac:dyDescent="0.25">
      <c r="C95" s="127"/>
      <c r="D95" s="130"/>
      <c r="E95" s="24" t="s">
        <v>90</v>
      </c>
      <c r="F95" s="9">
        <v>20</v>
      </c>
      <c r="G95" s="39">
        <v>14</v>
      </c>
      <c r="H95" s="53">
        <v>21</v>
      </c>
      <c r="I95" s="53">
        <v>8</v>
      </c>
      <c r="J95" s="53">
        <v>2</v>
      </c>
      <c r="K95" s="32">
        <f t="shared" si="1"/>
        <v>65</v>
      </c>
    </row>
    <row r="96" spans="3:11" ht="15.75" x14ac:dyDescent="0.25">
      <c r="C96" s="128"/>
      <c r="D96" s="131"/>
      <c r="E96" s="24" t="s">
        <v>16</v>
      </c>
      <c r="F96" s="9">
        <v>2793</v>
      </c>
      <c r="G96" s="39">
        <v>1720</v>
      </c>
      <c r="H96" s="53">
        <v>150157</v>
      </c>
      <c r="I96" s="53">
        <v>60</v>
      </c>
      <c r="J96" s="53">
        <v>40</v>
      </c>
      <c r="K96" s="32">
        <f t="shared" si="1"/>
        <v>154770</v>
      </c>
    </row>
    <row r="97" spans="3:11" ht="15.75" x14ac:dyDescent="0.25">
      <c r="C97" s="102">
        <v>15</v>
      </c>
      <c r="D97" s="105" t="s">
        <v>91</v>
      </c>
      <c r="E97" s="20" t="s">
        <v>92</v>
      </c>
      <c r="F97" s="5">
        <v>428</v>
      </c>
      <c r="G97" s="35">
        <v>253</v>
      </c>
      <c r="H97" s="54">
        <v>194</v>
      </c>
      <c r="I97" s="54">
        <v>13600</v>
      </c>
      <c r="J97" s="54">
        <v>42864</v>
      </c>
      <c r="K97" s="32">
        <f t="shared" si="1"/>
        <v>57339</v>
      </c>
    </row>
    <row r="98" spans="3:11" ht="15.75" x14ac:dyDescent="0.25">
      <c r="C98" s="103"/>
      <c r="D98" s="106"/>
      <c r="E98" s="20" t="s">
        <v>93</v>
      </c>
      <c r="F98" s="5">
        <v>3386</v>
      </c>
      <c r="G98" s="35">
        <v>2563</v>
      </c>
      <c r="H98" s="54">
        <v>1420</v>
      </c>
      <c r="I98" s="54">
        <v>477</v>
      </c>
      <c r="J98" s="54">
        <v>533</v>
      </c>
      <c r="K98" s="32">
        <f t="shared" si="1"/>
        <v>8379</v>
      </c>
    </row>
    <row r="99" spans="3:11" ht="15.75" x14ac:dyDescent="0.25">
      <c r="C99" s="103"/>
      <c r="D99" s="106"/>
      <c r="E99" s="20" t="s">
        <v>94</v>
      </c>
      <c r="F99" s="5">
        <v>69675</v>
      </c>
      <c r="G99" s="35">
        <v>27049</v>
      </c>
      <c r="H99" s="54">
        <v>16745</v>
      </c>
      <c r="I99" s="54">
        <v>3437</v>
      </c>
      <c r="J99" s="54">
        <v>2776</v>
      </c>
      <c r="K99" s="32">
        <f t="shared" si="1"/>
        <v>119682</v>
      </c>
    </row>
    <row r="100" spans="3:11" ht="15.75" x14ac:dyDescent="0.25">
      <c r="C100" s="103"/>
      <c r="D100" s="106"/>
      <c r="E100" s="20" t="s">
        <v>95</v>
      </c>
      <c r="F100" s="5">
        <v>0</v>
      </c>
      <c r="G100" s="35">
        <v>0</v>
      </c>
      <c r="H100" s="54">
        <v>0</v>
      </c>
      <c r="I100" s="54">
        <v>97043</v>
      </c>
      <c r="J100" s="54">
        <v>81801</v>
      </c>
      <c r="K100" s="32">
        <f t="shared" si="1"/>
        <v>178844</v>
      </c>
    </row>
    <row r="101" spans="3:11" ht="15.75" x14ac:dyDescent="0.25">
      <c r="C101" s="103"/>
      <c r="D101" s="106"/>
      <c r="E101" s="20" t="s">
        <v>96</v>
      </c>
      <c r="F101" s="5">
        <v>0</v>
      </c>
      <c r="G101" s="35">
        <v>0</v>
      </c>
      <c r="H101" s="54">
        <v>0</v>
      </c>
      <c r="I101" s="54">
        <v>0</v>
      </c>
      <c r="J101" s="54">
        <v>42705</v>
      </c>
      <c r="K101" s="32">
        <f t="shared" si="1"/>
        <v>42705</v>
      </c>
    </row>
    <row r="102" spans="3:11" ht="15.75" x14ac:dyDescent="0.25">
      <c r="C102" s="103"/>
      <c r="D102" s="106"/>
      <c r="E102" s="20" t="s">
        <v>97</v>
      </c>
      <c r="F102" s="5">
        <v>514</v>
      </c>
      <c r="G102" s="35">
        <v>358</v>
      </c>
      <c r="H102" s="54">
        <v>232</v>
      </c>
      <c r="I102" s="54">
        <v>0</v>
      </c>
      <c r="J102" s="54">
        <v>0</v>
      </c>
      <c r="K102" s="32">
        <f t="shared" si="1"/>
        <v>1104</v>
      </c>
    </row>
    <row r="103" spans="3:11" ht="15.75" x14ac:dyDescent="0.25">
      <c r="C103" s="103"/>
      <c r="D103" s="106"/>
      <c r="E103" s="20" t="s">
        <v>98</v>
      </c>
      <c r="F103" s="5">
        <v>515</v>
      </c>
      <c r="G103" s="35">
        <v>345</v>
      </c>
      <c r="H103" s="54">
        <v>218</v>
      </c>
      <c r="I103" s="54">
        <v>493</v>
      </c>
      <c r="J103" s="54">
        <v>0</v>
      </c>
      <c r="K103" s="32">
        <f t="shared" si="1"/>
        <v>1571</v>
      </c>
    </row>
    <row r="104" spans="3:11" ht="15.75" x14ac:dyDescent="0.25">
      <c r="C104" s="103"/>
      <c r="D104" s="106"/>
      <c r="E104" s="20" t="s">
        <v>99</v>
      </c>
      <c r="F104" s="5">
        <v>961</v>
      </c>
      <c r="G104" s="35">
        <v>731</v>
      </c>
      <c r="H104" s="54">
        <v>417</v>
      </c>
      <c r="I104" s="54">
        <v>617</v>
      </c>
      <c r="J104" s="54">
        <v>521</v>
      </c>
      <c r="K104" s="32">
        <f t="shared" si="1"/>
        <v>3247</v>
      </c>
    </row>
    <row r="105" spans="3:11" ht="15.75" x14ac:dyDescent="0.25">
      <c r="C105" s="103"/>
      <c r="D105" s="106"/>
      <c r="E105" s="20" t="s">
        <v>100</v>
      </c>
      <c r="F105" s="5">
        <v>2824</v>
      </c>
      <c r="G105" s="35">
        <v>2174</v>
      </c>
      <c r="H105" s="54">
        <v>1282</v>
      </c>
      <c r="I105" s="54">
        <v>1032</v>
      </c>
      <c r="J105" s="54">
        <v>420</v>
      </c>
      <c r="K105" s="32">
        <f t="shared" si="1"/>
        <v>7732</v>
      </c>
    </row>
    <row r="106" spans="3:11" ht="15.75" x14ac:dyDescent="0.25">
      <c r="C106" s="103"/>
      <c r="D106" s="106"/>
      <c r="E106" s="20" t="s">
        <v>101</v>
      </c>
      <c r="F106" s="5">
        <v>1342</v>
      </c>
      <c r="G106" s="35">
        <v>854</v>
      </c>
      <c r="H106" s="54">
        <v>28</v>
      </c>
      <c r="I106" s="54">
        <v>2908</v>
      </c>
      <c r="J106" s="54">
        <v>1081</v>
      </c>
      <c r="K106" s="32">
        <f t="shared" si="1"/>
        <v>6213</v>
      </c>
    </row>
    <row r="107" spans="3:11" ht="15.75" x14ac:dyDescent="0.25">
      <c r="C107" s="103"/>
      <c r="D107" s="106"/>
      <c r="E107" s="20" t="s">
        <v>102</v>
      </c>
      <c r="F107" s="5">
        <v>3</v>
      </c>
      <c r="G107" s="35">
        <v>0</v>
      </c>
      <c r="H107" s="54">
        <v>497</v>
      </c>
      <c r="I107" s="54">
        <v>40</v>
      </c>
      <c r="J107" s="54">
        <v>2404</v>
      </c>
      <c r="K107" s="32">
        <f t="shared" si="1"/>
        <v>2944</v>
      </c>
    </row>
    <row r="108" spans="3:11" ht="15.75" x14ac:dyDescent="0.25">
      <c r="C108" s="103"/>
      <c r="D108" s="106"/>
      <c r="E108" s="20" t="s">
        <v>103</v>
      </c>
      <c r="F108" s="5">
        <v>1</v>
      </c>
      <c r="G108" s="35">
        <v>2</v>
      </c>
      <c r="H108" s="54">
        <v>2</v>
      </c>
      <c r="I108" s="54">
        <v>1149</v>
      </c>
      <c r="J108" s="54">
        <v>44</v>
      </c>
      <c r="K108" s="32">
        <f t="shared" si="1"/>
        <v>1198</v>
      </c>
    </row>
    <row r="109" spans="3:11" ht="15.75" x14ac:dyDescent="0.25">
      <c r="C109" s="103"/>
      <c r="D109" s="106"/>
      <c r="E109" s="20" t="s">
        <v>104</v>
      </c>
      <c r="F109" s="5">
        <v>9</v>
      </c>
      <c r="G109" s="35">
        <v>1</v>
      </c>
      <c r="H109" s="54">
        <v>2</v>
      </c>
      <c r="I109" s="54">
        <v>6</v>
      </c>
      <c r="J109" s="54">
        <v>1095</v>
      </c>
      <c r="K109" s="32">
        <f t="shared" si="1"/>
        <v>1113</v>
      </c>
    </row>
    <row r="110" spans="3:11" ht="15.75" x14ac:dyDescent="0.25">
      <c r="C110" s="103"/>
      <c r="D110" s="106"/>
      <c r="E110" s="20" t="s">
        <v>105</v>
      </c>
      <c r="F110" s="5">
        <v>1</v>
      </c>
      <c r="G110" s="35">
        <v>6</v>
      </c>
      <c r="H110" s="54">
        <v>1</v>
      </c>
      <c r="I110" s="54">
        <v>4</v>
      </c>
      <c r="J110" s="54">
        <v>1</v>
      </c>
      <c r="K110" s="32">
        <f t="shared" si="1"/>
        <v>13</v>
      </c>
    </row>
    <row r="111" spans="3:11" ht="15.75" x14ac:dyDescent="0.25">
      <c r="C111" s="103"/>
      <c r="D111" s="106"/>
      <c r="E111" s="20" t="s">
        <v>106</v>
      </c>
      <c r="F111" s="5">
        <v>62</v>
      </c>
      <c r="G111" s="35">
        <v>26</v>
      </c>
      <c r="H111" s="54">
        <v>2</v>
      </c>
      <c r="I111" s="54">
        <v>0</v>
      </c>
      <c r="J111" s="54">
        <v>16</v>
      </c>
      <c r="K111" s="32">
        <f t="shared" si="1"/>
        <v>106</v>
      </c>
    </row>
    <row r="112" spans="3:11" ht="15.75" x14ac:dyDescent="0.25">
      <c r="C112" s="103"/>
      <c r="D112" s="106"/>
      <c r="E112" s="20" t="s">
        <v>107</v>
      </c>
      <c r="F112" s="5">
        <v>117</v>
      </c>
      <c r="G112" s="35">
        <v>87</v>
      </c>
      <c r="H112" s="54">
        <v>20</v>
      </c>
      <c r="I112" s="54">
        <v>2</v>
      </c>
      <c r="J112" s="54">
        <v>0</v>
      </c>
      <c r="K112" s="32">
        <f t="shared" si="1"/>
        <v>226</v>
      </c>
    </row>
    <row r="113" spans="3:11" ht="15.75" x14ac:dyDescent="0.25">
      <c r="C113" s="103"/>
      <c r="D113" s="106"/>
      <c r="E113" s="20" t="s">
        <v>108</v>
      </c>
      <c r="F113" s="5">
        <v>86</v>
      </c>
      <c r="G113" s="35">
        <v>43</v>
      </c>
      <c r="H113" s="54">
        <v>62</v>
      </c>
      <c r="I113" s="54">
        <v>33</v>
      </c>
      <c r="J113" s="54">
        <v>3</v>
      </c>
      <c r="K113" s="32">
        <f t="shared" si="1"/>
        <v>227</v>
      </c>
    </row>
    <row r="114" spans="3:11" ht="15.75" x14ac:dyDescent="0.25">
      <c r="C114" s="103"/>
      <c r="D114" s="106"/>
      <c r="E114" s="20" t="s">
        <v>109</v>
      </c>
      <c r="F114" s="5">
        <v>10</v>
      </c>
      <c r="G114" s="35">
        <v>30</v>
      </c>
      <c r="H114" s="54">
        <v>23</v>
      </c>
      <c r="I114" s="54">
        <v>135</v>
      </c>
      <c r="J114" s="54">
        <v>23</v>
      </c>
      <c r="K114" s="32">
        <f t="shared" si="1"/>
        <v>221</v>
      </c>
    </row>
    <row r="115" spans="3:11" ht="15.75" x14ac:dyDescent="0.25">
      <c r="C115" s="103"/>
      <c r="D115" s="106"/>
      <c r="E115" s="20" t="s">
        <v>110</v>
      </c>
      <c r="F115" s="5">
        <v>0</v>
      </c>
      <c r="G115" s="35">
        <v>0</v>
      </c>
      <c r="H115" s="54">
        <v>11</v>
      </c>
      <c r="I115" s="54">
        <v>36</v>
      </c>
      <c r="J115" s="54">
        <v>90</v>
      </c>
      <c r="K115" s="32">
        <f t="shared" si="1"/>
        <v>137</v>
      </c>
    </row>
    <row r="116" spans="3:11" ht="15.75" x14ac:dyDescent="0.25">
      <c r="C116" s="103"/>
      <c r="D116" s="106"/>
      <c r="E116" s="20" t="s">
        <v>111</v>
      </c>
      <c r="F116" s="5">
        <v>121</v>
      </c>
      <c r="G116" s="35">
        <v>104</v>
      </c>
      <c r="H116" s="54">
        <v>0</v>
      </c>
      <c r="I116" s="54">
        <v>61</v>
      </c>
      <c r="J116" s="54">
        <v>46</v>
      </c>
      <c r="K116" s="32">
        <f t="shared" si="1"/>
        <v>332</v>
      </c>
    </row>
    <row r="117" spans="3:11" ht="15.75" x14ac:dyDescent="0.25">
      <c r="C117" s="103"/>
      <c r="D117" s="106"/>
      <c r="E117" s="20" t="s">
        <v>112</v>
      </c>
      <c r="F117" s="5">
        <v>412971</v>
      </c>
      <c r="G117" s="35">
        <v>262307</v>
      </c>
      <c r="H117" s="54">
        <v>67</v>
      </c>
      <c r="I117" s="54">
        <v>0</v>
      </c>
      <c r="J117" s="54">
        <v>31</v>
      </c>
      <c r="K117" s="32">
        <f t="shared" si="1"/>
        <v>675376</v>
      </c>
    </row>
    <row r="118" spans="3:11" ht="15.75" x14ac:dyDescent="0.25">
      <c r="C118" s="103"/>
      <c r="D118" s="106"/>
      <c r="E118" s="20" t="s">
        <v>113</v>
      </c>
      <c r="F118" s="5">
        <v>2</v>
      </c>
      <c r="G118" s="35">
        <v>20</v>
      </c>
      <c r="H118" s="54">
        <v>153750</v>
      </c>
      <c r="I118" s="54">
        <v>92</v>
      </c>
      <c r="J118" s="54">
        <v>0</v>
      </c>
      <c r="K118" s="32">
        <f t="shared" si="1"/>
        <v>153864</v>
      </c>
    </row>
    <row r="119" spans="3:11" ht="15.75" x14ac:dyDescent="0.25">
      <c r="C119" s="104"/>
      <c r="D119" s="107"/>
      <c r="E119" s="20" t="s">
        <v>33</v>
      </c>
      <c r="F119" s="5">
        <v>0</v>
      </c>
      <c r="G119" s="35">
        <v>0</v>
      </c>
      <c r="H119" s="54">
        <v>4</v>
      </c>
      <c r="I119" s="54">
        <v>397713</v>
      </c>
      <c r="J119" s="54">
        <v>88</v>
      </c>
      <c r="K119" s="32">
        <f t="shared" si="1"/>
        <v>397805</v>
      </c>
    </row>
    <row r="120" spans="3:11" ht="15.75" x14ac:dyDescent="0.25">
      <c r="C120" s="120">
        <v>16</v>
      </c>
      <c r="D120" s="123" t="s">
        <v>114</v>
      </c>
      <c r="E120" s="23" t="s">
        <v>41</v>
      </c>
      <c r="F120" s="8">
        <v>0</v>
      </c>
      <c r="G120" s="38">
        <v>0</v>
      </c>
      <c r="H120" s="57">
        <v>1</v>
      </c>
      <c r="I120" s="57">
        <v>3020</v>
      </c>
      <c r="J120" s="57">
        <v>310773</v>
      </c>
      <c r="K120" s="32">
        <f t="shared" si="1"/>
        <v>313794</v>
      </c>
    </row>
    <row r="121" spans="3:11" ht="15.75" x14ac:dyDescent="0.25">
      <c r="C121" s="121"/>
      <c r="D121" s="124"/>
      <c r="E121" s="23" t="s">
        <v>115</v>
      </c>
      <c r="F121" s="8">
        <v>0</v>
      </c>
      <c r="G121" s="38">
        <v>0</v>
      </c>
      <c r="H121" s="57">
        <v>1245</v>
      </c>
      <c r="I121" s="57">
        <v>0</v>
      </c>
      <c r="J121" s="57">
        <v>2298</v>
      </c>
      <c r="K121" s="32">
        <f t="shared" si="1"/>
        <v>3543</v>
      </c>
    </row>
    <row r="122" spans="3:11" ht="15.75" x14ac:dyDescent="0.25">
      <c r="C122" s="121"/>
      <c r="D122" s="124"/>
      <c r="E122" s="23" t="s">
        <v>116</v>
      </c>
      <c r="F122" s="8">
        <v>0</v>
      </c>
      <c r="G122" s="38">
        <v>0</v>
      </c>
      <c r="H122" s="57">
        <v>0</v>
      </c>
      <c r="I122" s="57">
        <v>0</v>
      </c>
      <c r="J122" s="57">
        <v>0</v>
      </c>
      <c r="K122" s="32">
        <f t="shared" si="1"/>
        <v>0</v>
      </c>
    </row>
    <row r="123" spans="3:11" ht="15.75" x14ac:dyDescent="0.25">
      <c r="C123" s="121"/>
      <c r="D123" s="124"/>
      <c r="E123" s="23" t="s">
        <v>117</v>
      </c>
      <c r="F123" s="8">
        <v>0</v>
      </c>
      <c r="G123" s="38">
        <v>0</v>
      </c>
      <c r="H123" s="57">
        <v>0</v>
      </c>
      <c r="I123" s="57">
        <v>0</v>
      </c>
      <c r="J123" s="57">
        <v>0</v>
      </c>
      <c r="K123" s="32">
        <f t="shared" si="1"/>
        <v>0</v>
      </c>
    </row>
    <row r="124" spans="3:11" ht="15.75" x14ac:dyDescent="0.25">
      <c r="C124" s="122"/>
      <c r="D124" s="125"/>
      <c r="E124" s="23" t="s">
        <v>16</v>
      </c>
      <c r="F124" s="8">
        <v>2</v>
      </c>
      <c r="G124" s="38">
        <v>0</v>
      </c>
      <c r="H124" s="57">
        <v>0</v>
      </c>
      <c r="I124" s="57">
        <v>0</v>
      </c>
      <c r="J124" s="57">
        <v>0</v>
      </c>
      <c r="K124" s="32">
        <f t="shared" si="1"/>
        <v>2</v>
      </c>
    </row>
    <row r="125" spans="3:11" ht="15.75" x14ac:dyDescent="0.25">
      <c r="C125" s="114">
        <v>17</v>
      </c>
      <c r="D125" s="117" t="s">
        <v>118</v>
      </c>
      <c r="E125" s="22" t="s">
        <v>119</v>
      </c>
      <c r="F125" s="7">
        <v>1</v>
      </c>
      <c r="G125" s="37">
        <v>0</v>
      </c>
      <c r="H125" s="56">
        <v>0</v>
      </c>
      <c r="I125" s="56">
        <v>0</v>
      </c>
      <c r="J125" s="56">
        <v>0</v>
      </c>
      <c r="K125" s="32">
        <f t="shared" si="1"/>
        <v>1</v>
      </c>
    </row>
    <row r="126" spans="3:11" ht="15.75" x14ac:dyDescent="0.25">
      <c r="C126" s="115"/>
      <c r="D126" s="118"/>
      <c r="E126" s="22" t="s">
        <v>120</v>
      </c>
      <c r="F126" s="7">
        <v>1</v>
      </c>
      <c r="G126" s="37">
        <v>0</v>
      </c>
      <c r="H126" s="56">
        <v>0</v>
      </c>
      <c r="I126" s="56">
        <v>2</v>
      </c>
      <c r="J126" s="56">
        <v>0</v>
      </c>
      <c r="K126" s="32">
        <f t="shared" si="1"/>
        <v>3</v>
      </c>
    </row>
    <row r="127" spans="3:11" ht="15.75" x14ac:dyDescent="0.25">
      <c r="C127" s="116"/>
      <c r="D127" s="119"/>
      <c r="E127" s="22" t="s">
        <v>16</v>
      </c>
      <c r="F127" s="7">
        <v>146</v>
      </c>
      <c r="G127" s="37">
        <v>0</v>
      </c>
      <c r="H127" s="56">
        <v>0</v>
      </c>
      <c r="I127" s="56">
        <v>1</v>
      </c>
      <c r="J127" s="56">
        <v>2</v>
      </c>
      <c r="K127" s="32">
        <f t="shared" si="1"/>
        <v>149</v>
      </c>
    </row>
    <row r="128" spans="3:11" ht="15.75" x14ac:dyDescent="0.25">
      <c r="C128" s="90">
        <v>18</v>
      </c>
      <c r="D128" s="93" t="s">
        <v>121</v>
      </c>
      <c r="E128" s="17" t="s">
        <v>122</v>
      </c>
      <c r="F128" s="2">
        <v>22</v>
      </c>
      <c r="G128" s="31">
        <v>0</v>
      </c>
      <c r="H128" s="46">
        <v>0</v>
      </c>
      <c r="I128" s="46">
        <v>1</v>
      </c>
      <c r="J128" s="46">
        <v>1</v>
      </c>
      <c r="K128" s="32">
        <f t="shared" si="1"/>
        <v>24</v>
      </c>
    </row>
    <row r="129" spans="3:11" ht="15.75" x14ac:dyDescent="0.25">
      <c r="C129" s="91"/>
      <c r="D129" s="94"/>
      <c r="E129" s="17" t="s">
        <v>123</v>
      </c>
      <c r="F129" s="2">
        <v>2</v>
      </c>
      <c r="G129" s="31">
        <v>199</v>
      </c>
      <c r="H129" s="46">
        <v>0</v>
      </c>
      <c r="I129" s="46">
        <v>105</v>
      </c>
      <c r="J129" s="46">
        <v>1</v>
      </c>
      <c r="K129" s="32">
        <f t="shared" si="1"/>
        <v>307</v>
      </c>
    </row>
    <row r="130" spans="3:11" ht="15.75" x14ac:dyDescent="0.25">
      <c r="C130" s="91"/>
      <c r="D130" s="94"/>
      <c r="E130" s="17" t="s">
        <v>124</v>
      </c>
      <c r="F130" s="2">
        <v>1</v>
      </c>
      <c r="G130" s="31">
        <v>12</v>
      </c>
      <c r="H130" s="46">
        <v>82</v>
      </c>
      <c r="I130" s="46">
        <v>0</v>
      </c>
      <c r="J130" s="46">
        <v>86</v>
      </c>
      <c r="K130" s="32">
        <f t="shared" si="1"/>
        <v>181</v>
      </c>
    </row>
    <row r="131" spans="3:11" ht="15.75" x14ac:dyDescent="0.25">
      <c r="C131" s="91"/>
      <c r="D131" s="94"/>
      <c r="E131" s="17" t="s">
        <v>125</v>
      </c>
      <c r="F131" s="2">
        <v>0</v>
      </c>
      <c r="G131" s="31">
        <v>2</v>
      </c>
      <c r="H131" s="46">
        <v>1</v>
      </c>
      <c r="I131" s="46">
        <v>6</v>
      </c>
      <c r="J131" s="46">
        <v>2</v>
      </c>
      <c r="K131" s="32">
        <f t="shared" si="1"/>
        <v>11</v>
      </c>
    </row>
    <row r="132" spans="3:11" ht="15.75" x14ac:dyDescent="0.25">
      <c r="C132" s="91"/>
      <c r="D132" s="94"/>
      <c r="E132" s="17" t="s">
        <v>126</v>
      </c>
      <c r="F132" s="2">
        <v>10</v>
      </c>
      <c r="G132" s="31">
        <v>1</v>
      </c>
      <c r="H132" s="46">
        <v>5</v>
      </c>
      <c r="I132" s="46">
        <v>4</v>
      </c>
      <c r="J132" s="46">
        <v>2</v>
      </c>
      <c r="K132" s="32">
        <f t="shared" si="1"/>
        <v>22</v>
      </c>
    </row>
    <row r="133" spans="3:11" ht="15.75" x14ac:dyDescent="0.25">
      <c r="C133" s="91"/>
      <c r="D133" s="94"/>
      <c r="E133" s="17" t="s">
        <v>127</v>
      </c>
      <c r="F133" s="2">
        <v>3</v>
      </c>
      <c r="G133" s="31">
        <v>0</v>
      </c>
      <c r="H133" s="46">
        <v>0</v>
      </c>
      <c r="I133" s="46">
        <v>0</v>
      </c>
      <c r="J133" s="46">
        <v>1</v>
      </c>
      <c r="K133" s="32">
        <f t="shared" si="1"/>
        <v>4</v>
      </c>
    </row>
    <row r="134" spans="3:11" ht="15.75" x14ac:dyDescent="0.25">
      <c r="C134" s="91"/>
      <c r="D134" s="94"/>
      <c r="E134" s="17" t="s">
        <v>128</v>
      </c>
      <c r="F134" s="2">
        <v>5</v>
      </c>
      <c r="G134" s="31">
        <v>63</v>
      </c>
      <c r="H134" s="46">
        <v>0</v>
      </c>
      <c r="I134" s="46">
        <v>0</v>
      </c>
      <c r="J134" s="46">
        <v>0</v>
      </c>
      <c r="K134" s="32">
        <f t="shared" si="1"/>
        <v>68</v>
      </c>
    </row>
    <row r="135" spans="3:11" ht="15.75" x14ac:dyDescent="0.25">
      <c r="C135" s="91"/>
      <c r="D135" s="94"/>
      <c r="E135" s="17" t="s">
        <v>129</v>
      </c>
      <c r="F135" s="2">
        <v>8</v>
      </c>
      <c r="G135" s="31">
        <v>6</v>
      </c>
      <c r="H135" s="46">
        <v>13</v>
      </c>
      <c r="I135" s="46">
        <v>0</v>
      </c>
      <c r="J135" s="46">
        <v>0</v>
      </c>
      <c r="K135" s="32">
        <f t="shared" si="1"/>
        <v>27</v>
      </c>
    </row>
    <row r="136" spans="3:11" ht="15.75" x14ac:dyDescent="0.25">
      <c r="C136" s="91"/>
      <c r="D136" s="94"/>
      <c r="E136" s="17" t="s">
        <v>130</v>
      </c>
      <c r="F136" s="2">
        <v>4</v>
      </c>
      <c r="G136" s="31">
        <v>4</v>
      </c>
      <c r="H136" s="46">
        <v>0</v>
      </c>
      <c r="I136" s="46">
        <v>1</v>
      </c>
      <c r="J136" s="46">
        <v>0</v>
      </c>
      <c r="K136" s="32">
        <f t="shared" si="1"/>
        <v>9</v>
      </c>
    </row>
    <row r="137" spans="3:11" ht="15.75" x14ac:dyDescent="0.25">
      <c r="C137" s="91"/>
      <c r="D137" s="94"/>
      <c r="E137" s="17" t="s">
        <v>131</v>
      </c>
      <c r="F137" s="2">
        <v>0</v>
      </c>
      <c r="G137" s="31">
        <v>11</v>
      </c>
      <c r="H137" s="46">
        <v>0</v>
      </c>
      <c r="I137" s="46">
        <v>0</v>
      </c>
      <c r="J137" s="46">
        <v>0</v>
      </c>
      <c r="K137" s="32">
        <f t="shared" si="1"/>
        <v>11</v>
      </c>
    </row>
    <row r="138" spans="3:11" ht="15.75" x14ac:dyDescent="0.25">
      <c r="C138" s="91"/>
      <c r="D138" s="94"/>
      <c r="E138" s="17" t="s">
        <v>132</v>
      </c>
      <c r="F138" s="2">
        <v>25</v>
      </c>
      <c r="G138" s="31">
        <v>17</v>
      </c>
      <c r="H138" s="46">
        <v>0</v>
      </c>
      <c r="I138" s="46">
        <v>0</v>
      </c>
      <c r="J138" s="46">
        <v>0</v>
      </c>
      <c r="K138" s="32">
        <f t="shared" si="1"/>
        <v>42</v>
      </c>
    </row>
    <row r="139" spans="3:11" ht="15.75" x14ac:dyDescent="0.25">
      <c r="C139" s="91"/>
      <c r="D139" s="94"/>
      <c r="E139" s="17" t="s">
        <v>133</v>
      </c>
      <c r="F139" s="2">
        <v>27</v>
      </c>
      <c r="G139" s="31">
        <v>4</v>
      </c>
      <c r="H139" s="46">
        <v>3</v>
      </c>
      <c r="I139" s="46">
        <v>0</v>
      </c>
      <c r="J139" s="46">
        <v>0</v>
      </c>
      <c r="K139" s="32">
        <f t="shared" si="1"/>
        <v>34</v>
      </c>
    </row>
    <row r="140" spans="3:11" ht="15.75" x14ac:dyDescent="0.25">
      <c r="C140" s="91"/>
      <c r="D140" s="94"/>
      <c r="E140" s="17" t="s">
        <v>134</v>
      </c>
      <c r="F140" s="2">
        <v>31</v>
      </c>
      <c r="G140" s="31">
        <v>17</v>
      </c>
      <c r="H140" s="46">
        <v>1</v>
      </c>
      <c r="I140" s="46">
        <v>51</v>
      </c>
      <c r="J140" s="46">
        <v>0</v>
      </c>
      <c r="K140" s="32">
        <f t="shared" si="1"/>
        <v>100</v>
      </c>
    </row>
    <row r="141" spans="3:11" ht="15.75" x14ac:dyDescent="0.25">
      <c r="C141" s="91"/>
      <c r="D141" s="94"/>
      <c r="E141" s="17" t="s">
        <v>135</v>
      </c>
      <c r="F141" s="2">
        <v>8</v>
      </c>
      <c r="G141" s="31">
        <v>16</v>
      </c>
      <c r="H141" s="46">
        <v>32</v>
      </c>
      <c r="I141" s="46">
        <v>2</v>
      </c>
      <c r="J141" s="46">
        <v>52</v>
      </c>
      <c r="K141" s="32">
        <f t="shared" si="1"/>
        <v>110</v>
      </c>
    </row>
    <row r="142" spans="3:11" ht="15.75" x14ac:dyDescent="0.25">
      <c r="C142" s="92"/>
      <c r="D142" s="95"/>
      <c r="E142" s="17" t="s">
        <v>21</v>
      </c>
      <c r="F142" s="2">
        <v>71</v>
      </c>
      <c r="G142" s="31">
        <v>18</v>
      </c>
      <c r="H142" s="46">
        <v>5</v>
      </c>
      <c r="I142" s="46">
        <v>37</v>
      </c>
      <c r="J142" s="46">
        <v>0</v>
      </c>
      <c r="K142" s="32">
        <f t="shared" si="1"/>
        <v>131</v>
      </c>
    </row>
    <row r="143" spans="3:11" ht="15.75" x14ac:dyDescent="0.25">
      <c r="C143" s="126">
        <v>19</v>
      </c>
      <c r="D143" s="129" t="s">
        <v>136</v>
      </c>
      <c r="E143" s="24" t="s">
        <v>41</v>
      </c>
      <c r="F143" s="9">
        <v>0</v>
      </c>
      <c r="G143" s="39">
        <v>28</v>
      </c>
      <c r="H143" s="53">
        <v>20</v>
      </c>
      <c r="I143" s="53">
        <v>4</v>
      </c>
      <c r="J143" s="53">
        <v>27</v>
      </c>
      <c r="K143" s="32">
        <f t="shared" ref="K143:K206" si="2">SUM(F143:J143)</f>
        <v>79</v>
      </c>
    </row>
    <row r="144" spans="3:11" ht="15.75" x14ac:dyDescent="0.25">
      <c r="C144" s="127"/>
      <c r="D144" s="130"/>
      <c r="E144" s="24" t="s">
        <v>137</v>
      </c>
      <c r="F144" s="9">
        <v>0</v>
      </c>
      <c r="G144" s="39">
        <v>32</v>
      </c>
      <c r="H144" s="53">
        <v>2</v>
      </c>
      <c r="I144" s="53">
        <v>44</v>
      </c>
      <c r="J144" s="53">
        <v>2</v>
      </c>
      <c r="K144" s="32">
        <f t="shared" si="2"/>
        <v>80</v>
      </c>
    </row>
    <row r="145" spans="3:11" ht="15.75" x14ac:dyDescent="0.25">
      <c r="C145" s="127"/>
      <c r="D145" s="130"/>
      <c r="E145" s="24" t="s">
        <v>138</v>
      </c>
      <c r="F145" s="9">
        <v>0</v>
      </c>
      <c r="G145" s="39">
        <v>0</v>
      </c>
      <c r="H145" s="53">
        <v>54</v>
      </c>
      <c r="I145" s="53">
        <v>0</v>
      </c>
      <c r="J145" s="53">
        <v>43</v>
      </c>
      <c r="K145" s="32">
        <f t="shared" si="2"/>
        <v>97</v>
      </c>
    </row>
    <row r="146" spans="3:11" ht="15.75" x14ac:dyDescent="0.25">
      <c r="C146" s="127"/>
      <c r="D146" s="130"/>
      <c r="E146" s="24" t="s">
        <v>139</v>
      </c>
      <c r="F146" s="9">
        <v>0</v>
      </c>
      <c r="G146" s="39">
        <v>0</v>
      </c>
      <c r="H146" s="53">
        <v>0</v>
      </c>
      <c r="I146" s="53">
        <v>0</v>
      </c>
      <c r="J146" s="53">
        <v>0</v>
      </c>
      <c r="K146" s="32">
        <f t="shared" si="2"/>
        <v>0</v>
      </c>
    </row>
    <row r="147" spans="3:11" ht="15.75" x14ac:dyDescent="0.25">
      <c r="C147" s="127"/>
      <c r="D147" s="130"/>
      <c r="E147" s="24" t="s">
        <v>140</v>
      </c>
      <c r="F147" s="9">
        <v>0</v>
      </c>
      <c r="G147" s="39">
        <v>1</v>
      </c>
      <c r="H147" s="53">
        <v>0</v>
      </c>
      <c r="I147" s="53">
        <v>0</v>
      </c>
      <c r="J147" s="53">
        <v>0</v>
      </c>
      <c r="K147" s="32">
        <f t="shared" si="2"/>
        <v>1</v>
      </c>
    </row>
    <row r="148" spans="3:11" ht="15.75" x14ac:dyDescent="0.25">
      <c r="C148" s="127"/>
      <c r="D148" s="130"/>
      <c r="E148" s="24" t="s">
        <v>141</v>
      </c>
      <c r="F148" s="9">
        <v>9</v>
      </c>
      <c r="G148" s="39">
        <v>0</v>
      </c>
      <c r="H148" s="53">
        <v>0</v>
      </c>
      <c r="I148" s="53">
        <v>3</v>
      </c>
      <c r="J148" s="53">
        <v>0</v>
      </c>
      <c r="K148" s="32">
        <f t="shared" si="2"/>
        <v>12</v>
      </c>
    </row>
    <row r="149" spans="3:11" ht="15.75" x14ac:dyDescent="0.25">
      <c r="C149" s="127"/>
      <c r="D149" s="130"/>
      <c r="E149" s="24" t="s">
        <v>142</v>
      </c>
      <c r="F149" s="9">
        <v>40</v>
      </c>
      <c r="G149" s="39">
        <v>6</v>
      </c>
      <c r="H149" s="53">
        <v>5</v>
      </c>
      <c r="I149" s="53">
        <v>8</v>
      </c>
      <c r="J149" s="53">
        <v>1</v>
      </c>
      <c r="K149" s="32">
        <f t="shared" si="2"/>
        <v>60</v>
      </c>
    </row>
    <row r="150" spans="3:11" ht="15.75" x14ac:dyDescent="0.25">
      <c r="C150" s="127"/>
      <c r="D150" s="130"/>
      <c r="E150" s="24" t="s">
        <v>143</v>
      </c>
      <c r="F150" s="9">
        <v>18</v>
      </c>
      <c r="G150" s="39">
        <v>4</v>
      </c>
      <c r="H150" s="53">
        <v>6</v>
      </c>
      <c r="I150" s="53">
        <v>2</v>
      </c>
      <c r="J150" s="53">
        <v>13</v>
      </c>
      <c r="K150" s="32">
        <f t="shared" si="2"/>
        <v>43</v>
      </c>
    </row>
    <row r="151" spans="3:11" ht="15.75" x14ac:dyDescent="0.25">
      <c r="C151" s="127"/>
      <c r="D151" s="130"/>
      <c r="E151" s="24" t="s">
        <v>144</v>
      </c>
      <c r="F151" s="9">
        <v>4</v>
      </c>
      <c r="G151" s="39">
        <v>20</v>
      </c>
      <c r="H151" s="53">
        <v>13</v>
      </c>
      <c r="I151" s="53">
        <v>23</v>
      </c>
      <c r="J151" s="53">
        <v>3</v>
      </c>
      <c r="K151" s="32">
        <f t="shared" si="2"/>
        <v>63</v>
      </c>
    </row>
    <row r="152" spans="3:11" ht="15.75" x14ac:dyDescent="0.25">
      <c r="C152" s="128"/>
      <c r="D152" s="131"/>
      <c r="E152" s="24" t="s">
        <v>16</v>
      </c>
      <c r="F152" s="9">
        <v>716</v>
      </c>
      <c r="G152" s="39">
        <v>1</v>
      </c>
      <c r="H152" s="53">
        <v>29</v>
      </c>
      <c r="I152" s="53">
        <v>8</v>
      </c>
      <c r="J152" s="53">
        <v>23</v>
      </c>
      <c r="K152" s="32">
        <f t="shared" si="2"/>
        <v>777</v>
      </c>
    </row>
    <row r="153" spans="3:11" ht="15.75" x14ac:dyDescent="0.25">
      <c r="C153" s="120">
        <v>20</v>
      </c>
      <c r="D153" s="123" t="s">
        <v>145</v>
      </c>
      <c r="E153" s="23" t="s">
        <v>41</v>
      </c>
      <c r="F153" s="8">
        <v>235</v>
      </c>
      <c r="G153" s="38">
        <v>0</v>
      </c>
      <c r="H153" s="57">
        <v>0</v>
      </c>
      <c r="I153" s="57">
        <v>0</v>
      </c>
      <c r="J153" s="57">
        <v>3</v>
      </c>
      <c r="K153" s="32">
        <f t="shared" si="2"/>
        <v>238</v>
      </c>
    </row>
    <row r="154" spans="3:11" ht="15.75" x14ac:dyDescent="0.25">
      <c r="C154" s="121"/>
      <c r="D154" s="124"/>
      <c r="E154" s="23" t="s">
        <v>146</v>
      </c>
      <c r="F154" s="8">
        <v>2</v>
      </c>
      <c r="G154" s="38">
        <v>1625</v>
      </c>
      <c r="H154" s="57">
        <v>1</v>
      </c>
      <c r="I154" s="57">
        <v>728</v>
      </c>
      <c r="J154" s="57">
        <v>0</v>
      </c>
      <c r="K154" s="32">
        <f t="shared" si="2"/>
        <v>2356</v>
      </c>
    </row>
    <row r="155" spans="3:11" ht="15.75" x14ac:dyDescent="0.25">
      <c r="C155" s="121"/>
      <c r="D155" s="124"/>
      <c r="E155" s="23" t="s">
        <v>147</v>
      </c>
      <c r="F155" s="8">
        <v>0</v>
      </c>
      <c r="G155" s="38">
        <v>264</v>
      </c>
      <c r="H155" s="57">
        <v>612</v>
      </c>
      <c r="I155" s="57">
        <v>151</v>
      </c>
      <c r="J155" s="57">
        <v>479</v>
      </c>
      <c r="K155" s="32">
        <f t="shared" si="2"/>
        <v>1506</v>
      </c>
    </row>
    <row r="156" spans="3:11" ht="15.75" x14ac:dyDescent="0.25">
      <c r="C156" s="121"/>
      <c r="D156" s="124"/>
      <c r="E156" s="23" t="s">
        <v>148</v>
      </c>
      <c r="F156" s="8">
        <v>0</v>
      </c>
      <c r="G156" s="38">
        <v>10</v>
      </c>
      <c r="H156" s="57">
        <v>94</v>
      </c>
      <c r="I156" s="57">
        <v>1</v>
      </c>
      <c r="J156" s="57">
        <v>87</v>
      </c>
      <c r="K156" s="32">
        <f t="shared" si="2"/>
        <v>192</v>
      </c>
    </row>
    <row r="157" spans="3:11" ht="15.75" x14ac:dyDescent="0.25">
      <c r="C157" s="121"/>
      <c r="D157" s="124"/>
      <c r="E157" s="23" t="s">
        <v>149</v>
      </c>
      <c r="F157" s="8">
        <v>0</v>
      </c>
      <c r="G157" s="38">
        <v>0</v>
      </c>
      <c r="H157" s="57">
        <v>1</v>
      </c>
      <c r="I157" s="57">
        <v>0</v>
      </c>
      <c r="J157" s="57">
        <v>5</v>
      </c>
      <c r="K157" s="32">
        <f t="shared" si="2"/>
        <v>6</v>
      </c>
    </row>
    <row r="158" spans="3:11" ht="15.75" x14ac:dyDescent="0.25">
      <c r="C158" s="121"/>
      <c r="D158" s="124"/>
      <c r="E158" s="23" t="s">
        <v>150</v>
      </c>
      <c r="F158" s="8">
        <v>0</v>
      </c>
      <c r="G158" s="38">
        <v>0</v>
      </c>
      <c r="H158" s="57">
        <v>0</v>
      </c>
      <c r="I158" s="57">
        <v>0</v>
      </c>
      <c r="J158" s="57">
        <v>1</v>
      </c>
      <c r="K158" s="32">
        <f t="shared" si="2"/>
        <v>1</v>
      </c>
    </row>
    <row r="159" spans="3:11" ht="15.75" x14ac:dyDescent="0.25">
      <c r="C159" s="121"/>
      <c r="D159" s="124"/>
      <c r="E159" s="23" t="s">
        <v>151</v>
      </c>
      <c r="F159" s="8">
        <v>108</v>
      </c>
      <c r="G159" s="38">
        <v>0</v>
      </c>
      <c r="H159" s="57">
        <v>0</v>
      </c>
      <c r="I159" s="57">
        <v>0</v>
      </c>
      <c r="J159" s="57">
        <v>0</v>
      </c>
      <c r="K159" s="32">
        <f t="shared" si="2"/>
        <v>108</v>
      </c>
    </row>
    <row r="160" spans="3:11" ht="15.75" x14ac:dyDescent="0.25">
      <c r="C160" s="121"/>
      <c r="D160" s="124"/>
      <c r="E160" s="23" t="s">
        <v>152</v>
      </c>
      <c r="F160" s="8">
        <v>0</v>
      </c>
      <c r="G160" s="38">
        <v>0</v>
      </c>
      <c r="H160" s="57">
        <v>0</v>
      </c>
      <c r="I160" s="57">
        <v>0</v>
      </c>
      <c r="J160" s="57">
        <v>1</v>
      </c>
      <c r="K160" s="32">
        <f t="shared" si="2"/>
        <v>1</v>
      </c>
    </row>
    <row r="161" spans="3:11" ht="15.75" x14ac:dyDescent="0.25">
      <c r="C161" s="121"/>
      <c r="D161" s="124"/>
      <c r="E161" s="23" t="s">
        <v>153</v>
      </c>
      <c r="F161" s="8">
        <v>0</v>
      </c>
      <c r="G161" s="38">
        <v>949</v>
      </c>
      <c r="H161" s="57">
        <v>0</v>
      </c>
      <c r="I161" s="57">
        <v>345</v>
      </c>
      <c r="J161" s="57">
        <v>0</v>
      </c>
      <c r="K161" s="32">
        <f t="shared" si="2"/>
        <v>1294</v>
      </c>
    </row>
    <row r="162" spans="3:11" ht="15.75" x14ac:dyDescent="0.25">
      <c r="C162" s="121"/>
      <c r="D162" s="124"/>
      <c r="E162" s="23" t="s">
        <v>154</v>
      </c>
      <c r="F162" s="8">
        <v>65</v>
      </c>
      <c r="G162" s="38">
        <v>0</v>
      </c>
      <c r="H162" s="57">
        <v>325</v>
      </c>
      <c r="I162" s="57">
        <v>0</v>
      </c>
      <c r="J162" s="57">
        <v>251</v>
      </c>
      <c r="K162" s="32">
        <f t="shared" si="2"/>
        <v>641</v>
      </c>
    </row>
    <row r="163" spans="3:11" ht="15.75" x14ac:dyDescent="0.25">
      <c r="C163" s="121"/>
      <c r="D163" s="124"/>
      <c r="E163" s="23" t="s">
        <v>155</v>
      </c>
      <c r="F163" s="8">
        <v>304</v>
      </c>
      <c r="G163" s="38">
        <v>0</v>
      </c>
      <c r="H163" s="57">
        <v>0</v>
      </c>
      <c r="I163" s="57">
        <v>0</v>
      </c>
      <c r="J163" s="57">
        <v>0</v>
      </c>
      <c r="K163" s="32">
        <f t="shared" si="2"/>
        <v>304</v>
      </c>
    </row>
    <row r="164" spans="3:11" ht="15.75" x14ac:dyDescent="0.25">
      <c r="C164" s="121"/>
      <c r="D164" s="124"/>
      <c r="E164" s="23" t="s">
        <v>156</v>
      </c>
      <c r="F164" s="8">
        <v>2</v>
      </c>
      <c r="G164" s="38">
        <v>232</v>
      </c>
      <c r="H164" s="57">
        <v>0</v>
      </c>
      <c r="I164" s="57">
        <v>126</v>
      </c>
      <c r="J164" s="57">
        <v>1</v>
      </c>
      <c r="K164" s="32">
        <f t="shared" si="2"/>
        <v>361</v>
      </c>
    </row>
    <row r="165" spans="3:11" ht="15.75" x14ac:dyDescent="0.25">
      <c r="C165" s="122"/>
      <c r="D165" s="125"/>
      <c r="E165" s="23" t="s">
        <v>33</v>
      </c>
      <c r="F165" s="8">
        <v>11</v>
      </c>
      <c r="G165" s="38">
        <v>168</v>
      </c>
      <c r="H165" s="57">
        <v>122</v>
      </c>
      <c r="I165" s="57">
        <v>105</v>
      </c>
      <c r="J165" s="57">
        <v>90</v>
      </c>
      <c r="K165" s="32">
        <f t="shared" si="2"/>
        <v>496</v>
      </c>
    </row>
    <row r="166" spans="3:11" ht="15.75" x14ac:dyDescent="0.25">
      <c r="C166" s="90">
        <v>21</v>
      </c>
      <c r="D166" s="93" t="s">
        <v>157</v>
      </c>
      <c r="E166" s="17" t="s">
        <v>41</v>
      </c>
      <c r="F166" s="2">
        <v>8</v>
      </c>
      <c r="G166" s="31">
        <v>2</v>
      </c>
      <c r="H166" s="46">
        <v>70</v>
      </c>
      <c r="I166" s="46">
        <v>0</v>
      </c>
      <c r="J166" s="46">
        <v>43</v>
      </c>
      <c r="K166" s="32">
        <f t="shared" si="2"/>
        <v>123</v>
      </c>
    </row>
    <row r="167" spans="3:11" ht="15.75" x14ac:dyDescent="0.25">
      <c r="C167" s="91"/>
      <c r="D167" s="94"/>
      <c r="E167" s="17" t="s">
        <v>158</v>
      </c>
      <c r="F167" s="2">
        <v>0</v>
      </c>
      <c r="G167" s="31">
        <v>21</v>
      </c>
      <c r="H167" s="46">
        <v>0</v>
      </c>
      <c r="I167" s="46">
        <v>45</v>
      </c>
      <c r="J167" s="46">
        <v>0</v>
      </c>
      <c r="K167" s="32">
        <f t="shared" si="2"/>
        <v>66</v>
      </c>
    </row>
    <row r="168" spans="3:11" ht="15.75" x14ac:dyDescent="0.25">
      <c r="C168" s="91"/>
      <c r="D168" s="94"/>
      <c r="E168" s="17" t="s">
        <v>159</v>
      </c>
      <c r="F168" s="2">
        <v>0</v>
      </c>
      <c r="G168" s="31">
        <v>12</v>
      </c>
      <c r="H168" s="46">
        <v>26</v>
      </c>
      <c r="I168" s="46">
        <v>42</v>
      </c>
      <c r="J168" s="46">
        <v>27</v>
      </c>
      <c r="K168" s="32">
        <f t="shared" si="2"/>
        <v>107</v>
      </c>
    </row>
    <row r="169" spans="3:11" ht="15.75" x14ac:dyDescent="0.25">
      <c r="C169" s="91"/>
      <c r="D169" s="94"/>
      <c r="E169" s="17" t="s">
        <v>160</v>
      </c>
      <c r="F169" s="2">
        <v>0</v>
      </c>
      <c r="G169" s="31">
        <v>0</v>
      </c>
      <c r="H169" s="46">
        <v>19</v>
      </c>
      <c r="I169" s="46">
        <v>0</v>
      </c>
      <c r="J169" s="46">
        <v>23</v>
      </c>
      <c r="K169" s="32">
        <f t="shared" si="2"/>
        <v>42</v>
      </c>
    </row>
    <row r="170" spans="3:11" ht="15.75" x14ac:dyDescent="0.25">
      <c r="C170" s="91"/>
      <c r="D170" s="94"/>
      <c r="E170" s="17" t="s">
        <v>161</v>
      </c>
      <c r="F170" s="2">
        <v>1</v>
      </c>
      <c r="G170" s="31">
        <v>0</v>
      </c>
      <c r="H170" s="46">
        <v>0</v>
      </c>
      <c r="I170" s="46">
        <v>0</v>
      </c>
      <c r="J170" s="46">
        <v>0</v>
      </c>
      <c r="K170" s="32">
        <f t="shared" si="2"/>
        <v>1</v>
      </c>
    </row>
    <row r="171" spans="3:11" ht="15.75" x14ac:dyDescent="0.25">
      <c r="C171" s="91"/>
      <c r="D171" s="94"/>
      <c r="E171" s="17" t="s">
        <v>162</v>
      </c>
      <c r="F171" s="2">
        <v>0</v>
      </c>
      <c r="G171" s="31">
        <v>0</v>
      </c>
      <c r="H171" s="46">
        <v>0</v>
      </c>
      <c r="I171" s="46">
        <v>0</v>
      </c>
      <c r="J171" s="46">
        <v>0</v>
      </c>
      <c r="K171" s="32">
        <f t="shared" si="2"/>
        <v>0</v>
      </c>
    </row>
    <row r="172" spans="3:11" ht="15.75" x14ac:dyDescent="0.25">
      <c r="C172" s="91"/>
      <c r="D172" s="94"/>
      <c r="E172" s="17" t="s">
        <v>163</v>
      </c>
      <c r="F172" s="2">
        <v>2</v>
      </c>
      <c r="G172" s="31">
        <v>3</v>
      </c>
      <c r="H172" s="46">
        <v>0</v>
      </c>
      <c r="I172" s="46">
        <v>0</v>
      </c>
      <c r="J172" s="46">
        <v>0</v>
      </c>
      <c r="K172" s="32">
        <f t="shared" si="2"/>
        <v>5</v>
      </c>
    </row>
    <row r="173" spans="3:11" ht="15.75" x14ac:dyDescent="0.25">
      <c r="C173" s="92"/>
      <c r="D173" s="95"/>
      <c r="E173" s="17" t="s">
        <v>21</v>
      </c>
      <c r="F173" s="2">
        <v>0</v>
      </c>
      <c r="G173" s="31">
        <v>4</v>
      </c>
      <c r="H173" s="46">
        <v>2</v>
      </c>
      <c r="I173" s="46">
        <v>0</v>
      </c>
      <c r="J173" s="46">
        <v>0</v>
      </c>
      <c r="K173" s="32">
        <f t="shared" si="2"/>
        <v>6</v>
      </c>
    </row>
    <row r="174" spans="3:11" ht="15.75" x14ac:dyDescent="0.25">
      <c r="C174" s="132">
        <v>22</v>
      </c>
      <c r="D174" s="135" t="s">
        <v>164</v>
      </c>
      <c r="E174" s="25" t="s">
        <v>41</v>
      </c>
      <c r="F174" s="10">
        <v>0</v>
      </c>
      <c r="G174" s="40">
        <v>2</v>
      </c>
      <c r="H174" s="55">
        <v>2</v>
      </c>
      <c r="I174" s="55">
        <v>3</v>
      </c>
      <c r="J174" s="55">
        <v>1</v>
      </c>
      <c r="K174" s="32">
        <f t="shared" si="2"/>
        <v>8</v>
      </c>
    </row>
    <row r="175" spans="3:11" ht="15.75" x14ac:dyDescent="0.25">
      <c r="C175" s="133"/>
      <c r="D175" s="136"/>
      <c r="E175" s="25" t="s">
        <v>165</v>
      </c>
      <c r="F175" s="10">
        <v>0</v>
      </c>
      <c r="G175" s="40">
        <v>0</v>
      </c>
      <c r="H175" s="55">
        <v>3</v>
      </c>
      <c r="I175" s="55">
        <v>0</v>
      </c>
      <c r="J175" s="55">
        <v>3</v>
      </c>
      <c r="K175" s="32">
        <f t="shared" si="2"/>
        <v>6</v>
      </c>
    </row>
    <row r="176" spans="3:11" ht="15.75" x14ac:dyDescent="0.25">
      <c r="C176" s="133"/>
      <c r="D176" s="136"/>
      <c r="E176" s="25" t="s">
        <v>166</v>
      </c>
      <c r="F176" s="10">
        <v>0</v>
      </c>
      <c r="G176" s="40">
        <v>0</v>
      </c>
      <c r="H176" s="55">
        <v>0</v>
      </c>
      <c r="I176" s="55">
        <v>0</v>
      </c>
      <c r="J176" s="55">
        <v>11</v>
      </c>
      <c r="K176" s="32">
        <f t="shared" si="2"/>
        <v>11</v>
      </c>
    </row>
    <row r="177" spans="3:11" ht="15.75" x14ac:dyDescent="0.25">
      <c r="C177" s="134"/>
      <c r="D177" s="137"/>
      <c r="E177" s="25" t="s">
        <v>21</v>
      </c>
      <c r="F177" s="10">
        <v>0</v>
      </c>
      <c r="G177" s="40">
        <v>0</v>
      </c>
      <c r="H177" s="55">
        <v>0</v>
      </c>
      <c r="I177" s="55">
        <v>0</v>
      </c>
      <c r="J177" s="55">
        <v>2</v>
      </c>
      <c r="K177" s="32">
        <f t="shared" si="2"/>
        <v>2</v>
      </c>
    </row>
    <row r="178" spans="3:11" ht="15.75" x14ac:dyDescent="0.25">
      <c r="C178" s="126">
        <v>23</v>
      </c>
      <c r="D178" s="129" t="s">
        <v>167</v>
      </c>
      <c r="E178" s="24" t="s">
        <v>41</v>
      </c>
      <c r="F178" s="9">
        <v>0</v>
      </c>
      <c r="G178" s="39">
        <v>0</v>
      </c>
      <c r="H178" s="53">
        <v>0</v>
      </c>
      <c r="I178" s="53">
        <v>0</v>
      </c>
      <c r="J178" s="53">
        <v>8</v>
      </c>
      <c r="K178" s="32">
        <f t="shared" si="2"/>
        <v>8</v>
      </c>
    </row>
    <row r="179" spans="3:11" ht="15.75" x14ac:dyDescent="0.25">
      <c r="C179" s="127"/>
      <c r="D179" s="130"/>
      <c r="E179" s="24" t="s">
        <v>168</v>
      </c>
      <c r="F179" s="9">
        <v>0</v>
      </c>
      <c r="G179" s="39">
        <v>3</v>
      </c>
      <c r="H179" s="53">
        <v>0</v>
      </c>
      <c r="I179" s="53">
        <v>15</v>
      </c>
      <c r="J179" s="53">
        <v>3</v>
      </c>
      <c r="K179" s="32">
        <f t="shared" si="2"/>
        <v>21</v>
      </c>
    </row>
    <row r="180" spans="3:11" ht="15.75" x14ac:dyDescent="0.25">
      <c r="C180" s="127"/>
      <c r="D180" s="130"/>
      <c r="E180" s="24" t="s">
        <v>169</v>
      </c>
      <c r="F180" s="9">
        <v>0</v>
      </c>
      <c r="G180" s="39">
        <v>0</v>
      </c>
      <c r="H180" s="53">
        <v>1</v>
      </c>
      <c r="I180" s="53">
        <v>5</v>
      </c>
      <c r="J180" s="53">
        <v>5</v>
      </c>
      <c r="K180" s="32">
        <f t="shared" si="2"/>
        <v>11</v>
      </c>
    </row>
    <row r="181" spans="3:11" ht="15.75" x14ac:dyDescent="0.25">
      <c r="C181" s="127"/>
      <c r="D181" s="130"/>
      <c r="E181" s="24" t="s">
        <v>170</v>
      </c>
      <c r="F181" s="9">
        <v>0</v>
      </c>
      <c r="G181" s="39">
        <v>3</v>
      </c>
      <c r="H181" s="53">
        <v>0</v>
      </c>
      <c r="I181" s="53">
        <v>6</v>
      </c>
      <c r="J181" s="53">
        <v>0</v>
      </c>
      <c r="K181" s="32">
        <f t="shared" si="2"/>
        <v>9</v>
      </c>
    </row>
    <row r="182" spans="3:11" ht="15.75" x14ac:dyDescent="0.25">
      <c r="C182" s="127"/>
      <c r="D182" s="130"/>
      <c r="E182" s="24" t="s">
        <v>171</v>
      </c>
      <c r="F182" s="9">
        <v>0</v>
      </c>
      <c r="G182" s="39">
        <v>0</v>
      </c>
      <c r="H182" s="53">
        <v>1</v>
      </c>
      <c r="I182" s="53">
        <v>0</v>
      </c>
      <c r="J182" s="53">
        <v>0</v>
      </c>
      <c r="K182" s="32">
        <f t="shared" si="2"/>
        <v>1</v>
      </c>
    </row>
    <row r="183" spans="3:11" ht="15.75" x14ac:dyDescent="0.25">
      <c r="C183" s="128"/>
      <c r="D183" s="131"/>
      <c r="E183" s="24" t="s">
        <v>21</v>
      </c>
      <c r="F183" s="9">
        <v>361</v>
      </c>
      <c r="G183" s="39">
        <v>0</v>
      </c>
      <c r="H183" s="53">
        <v>0</v>
      </c>
      <c r="I183" s="53">
        <v>4</v>
      </c>
      <c r="J183" s="53">
        <v>0</v>
      </c>
      <c r="K183" s="32">
        <f t="shared" si="2"/>
        <v>365</v>
      </c>
    </row>
    <row r="184" spans="3:11" x14ac:dyDescent="0.25">
      <c r="C184" s="138">
        <v>24</v>
      </c>
      <c r="D184" s="141" t="s">
        <v>172</v>
      </c>
      <c r="E184" s="60" t="s">
        <v>41</v>
      </c>
      <c r="F184" s="61">
        <v>283</v>
      </c>
      <c r="G184" s="62">
        <v>0</v>
      </c>
      <c r="H184" s="50">
        <v>0</v>
      </c>
      <c r="I184" s="50">
        <v>0</v>
      </c>
      <c r="J184" s="50">
        <v>248</v>
      </c>
      <c r="K184" s="32">
        <f t="shared" si="2"/>
        <v>531</v>
      </c>
    </row>
    <row r="185" spans="3:11" x14ac:dyDescent="0.25">
      <c r="C185" s="139"/>
      <c r="D185" s="142"/>
      <c r="E185" s="60" t="s">
        <v>173</v>
      </c>
      <c r="F185" s="61">
        <v>61</v>
      </c>
      <c r="G185" s="62">
        <v>311</v>
      </c>
      <c r="H185" s="50">
        <v>0</v>
      </c>
      <c r="I185" s="50">
        <v>333</v>
      </c>
      <c r="J185" s="50">
        <v>212</v>
      </c>
      <c r="K185" s="32">
        <f t="shared" si="2"/>
        <v>917</v>
      </c>
    </row>
    <row r="186" spans="3:11" x14ac:dyDescent="0.25">
      <c r="C186" s="139"/>
      <c r="D186" s="142"/>
      <c r="E186" s="60" t="s">
        <v>174</v>
      </c>
      <c r="F186" s="61">
        <v>17</v>
      </c>
      <c r="G186" s="62">
        <v>253</v>
      </c>
      <c r="H186" s="50">
        <v>351</v>
      </c>
      <c r="I186" s="50">
        <v>286</v>
      </c>
      <c r="J186" s="50">
        <v>27</v>
      </c>
      <c r="K186" s="32">
        <f t="shared" si="2"/>
        <v>934</v>
      </c>
    </row>
    <row r="187" spans="3:11" x14ac:dyDescent="0.25">
      <c r="C187" s="140"/>
      <c r="D187" s="143"/>
      <c r="E187" s="60" t="s">
        <v>21</v>
      </c>
      <c r="F187" s="61">
        <v>5</v>
      </c>
      <c r="G187" s="62">
        <v>49</v>
      </c>
      <c r="H187" s="50">
        <v>264</v>
      </c>
      <c r="I187" s="50">
        <v>43</v>
      </c>
      <c r="J187" s="50">
        <v>9</v>
      </c>
      <c r="K187" s="32">
        <f t="shared" si="2"/>
        <v>370</v>
      </c>
    </row>
    <row r="188" spans="3:11" x14ac:dyDescent="0.25">
      <c r="C188" s="144">
        <v>24</v>
      </c>
      <c r="D188" s="147" t="s">
        <v>175</v>
      </c>
      <c r="E188" s="63" t="s">
        <v>41</v>
      </c>
      <c r="F188" s="64">
        <v>1</v>
      </c>
      <c r="G188" s="65">
        <v>9</v>
      </c>
      <c r="H188" s="59">
        <v>60</v>
      </c>
      <c r="I188" s="59">
        <v>4</v>
      </c>
      <c r="J188" s="59">
        <v>22</v>
      </c>
      <c r="K188" s="32">
        <f t="shared" si="2"/>
        <v>96</v>
      </c>
    </row>
    <row r="189" spans="3:11" x14ac:dyDescent="0.25">
      <c r="C189" s="145"/>
      <c r="D189" s="148"/>
      <c r="E189" s="63" t="s">
        <v>176</v>
      </c>
      <c r="F189" s="64">
        <v>4</v>
      </c>
      <c r="G189" s="65">
        <v>7</v>
      </c>
      <c r="H189" s="59">
        <v>27</v>
      </c>
      <c r="I189" s="59">
        <v>22</v>
      </c>
      <c r="J189" s="59">
        <v>2</v>
      </c>
      <c r="K189" s="32">
        <f t="shared" si="2"/>
        <v>62</v>
      </c>
    </row>
    <row r="190" spans="3:11" x14ac:dyDescent="0.25">
      <c r="C190" s="146"/>
      <c r="D190" s="149"/>
      <c r="E190" s="63" t="s">
        <v>16</v>
      </c>
      <c r="F190" s="64">
        <v>675</v>
      </c>
      <c r="G190" s="65">
        <v>0</v>
      </c>
      <c r="H190" s="59">
        <v>8</v>
      </c>
      <c r="I190" s="59">
        <v>3</v>
      </c>
      <c r="J190" s="59">
        <v>20</v>
      </c>
      <c r="K190" s="32">
        <f t="shared" si="2"/>
        <v>706</v>
      </c>
    </row>
    <row r="191" spans="3:11" ht="15.75" x14ac:dyDescent="0.25">
      <c r="C191" s="102">
        <v>26</v>
      </c>
      <c r="D191" s="105" t="s">
        <v>177</v>
      </c>
      <c r="E191" s="20" t="s">
        <v>41</v>
      </c>
      <c r="F191" s="5">
        <v>332</v>
      </c>
      <c r="G191" s="35">
        <v>7</v>
      </c>
      <c r="H191" s="54">
        <v>1</v>
      </c>
      <c r="I191" s="54">
        <v>19</v>
      </c>
      <c r="J191" s="54">
        <v>584</v>
      </c>
      <c r="K191" s="32">
        <f t="shared" si="2"/>
        <v>943</v>
      </c>
    </row>
    <row r="192" spans="3:11" ht="15.75" x14ac:dyDescent="0.25">
      <c r="C192" s="103"/>
      <c r="D192" s="106"/>
      <c r="E192" s="20" t="s">
        <v>178</v>
      </c>
      <c r="F192" s="5">
        <v>11</v>
      </c>
      <c r="G192" s="35">
        <v>815</v>
      </c>
      <c r="H192" s="54">
        <v>7</v>
      </c>
      <c r="I192" s="54">
        <v>840</v>
      </c>
      <c r="J192" s="54">
        <v>7</v>
      </c>
      <c r="K192" s="32">
        <f t="shared" si="2"/>
        <v>1680</v>
      </c>
    </row>
    <row r="193" spans="3:11" ht="15.75" x14ac:dyDescent="0.25">
      <c r="C193" s="103"/>
      <c r="D193" s="106"/>
      <c r="E193" s="20" t="s">
        <v>179</v>
      </c>
      <c r="F193" s="5">
        <v>3</v>
      </c>
      <c r="G193" s="35">
        <v>390</v>
      </c>
      <c r="H193" s="54">
        <v>402</v>
      </c>
      <c r="I193" s="54">
        <v>47</v>
      </c>
      <c r="J193" s="54"/>
      <c r="K193" s="32">
        <f t="shared" si="2"/>
        <v>842</v>
      </c>
    </row>
    <row r="194" spans="3:11" ht="15.75" x14ac:dyDescent="0.25">
      <c r="C194" s="103"/>
      <c r="D194" s="106"/>
      <c r="E194" s="20" t="s">
        <v>180</v>
      </c>
      <c r="F194" s="5">
        <v>2</v>
      </c>
      <c r="G194" s="35">
        <v>6</v>
      </c>
      <c r="H194" s="54">
        <v>215</v>
      </c>
      <c r="I194" s="54">
        <v>105</v>
      </c>
      <c r="J194" s="54">
        <v>46</v>
      </c>
      <c r="K194" s="32">
        <f t="shared" si="2"/>
        <v>374</v>
      </c>
    </row>
    <row r="195" spans="3:11" ht="15.75" x14ac:dyDescent="0.25">
      <c r="C195" s="103"/>
      <c r="D195" s="106"/>
      <c r="E195" s="20" t="s">
        <v>181</v>
      </c>
      <c r="F195" s="5">
        <v>6</v>
      </c>
      <c r="G195" s="35">
        <v>1</v>
      </c>
      <c r="H195" s="54">
        <v>0</v>
      </c>
      <c r="I195" s="54">
        <v>74</v>
      </c>
      <c r="J195" s="54"/>
      <c r="K195" s="32">
        <f t="shared" si="2"/>
        <v>81</v>
      </c>
    </row>
    <row r="196" spans="3:11" ht="15.75" x14ac:dyDescent="0.25">
      <c r="C196" s="103"/>
      <c r="D196" s="106"/>
      <c r="E196" s="20" t="s">
        <v>182</v>
      </c>
      <c r="F196" s="5">
        <v>1</v>
      </c>
      <c r="G196" s="35">
        <v>0</v>
      </c>
      <c r="H196" s="54">
        <v>0</v>
      </c>
      <c r="I196" s="54">
        <v>72</v>
      </c>
      <c r="J196" s="54"/>
      <c r="K196" s="32">
        <f t="shared" si="2"/>
        <v>73</v>
      </c>
    </row>
    <row r="197" spans="3:11" ht="15.75" x14ac:dyDescent="0.25">
      <c r="C197" s="103"/>
      <c r="D197" s="106"/>
      <c r="E197" s="20" t="s">
        <v>183</v>
      </c>
      <c r="F197" s="5">
        <v>24</v>
      </c>
      <c r="G197" s="35">
        <v>8</v>
      </c>
      <c r="H197" s="54">
        <v>0</v>
      </c>
      <c r="I197" s="54">
        <v>65</v>
      </c>
      <c r="J197" s="54"/>
      <c r="K197" s="32">
        <f t="shared" si="2"/>
        <v>97</v>
      </c>
    </row>
    <row r="198" spans="3:11" ht="15.75" x14ac:dyDescent="0.25">
      <c r="C198" s="103"/>
      <c r="D198" s="106"/>
      <c r="E198" s="20" t="s">
        <v>184</v>
      </c>
      <c r="F198" s="5">
        <v>41</v>
      </c>
      <c r="G198" s="35">
        <v>0</v>
      </c>
      <c r="H198" s="54">
        <v>0</v>
      </c>
      <c r="I198" s="54">
        <v>7</v>
      </c>
      <c r="J198" s="54"/>
      <c r="K198" s="32">
        <f t="shared" si="2"/>
        <v>48</v>
      </c>
    </row>
    <row r="199" spans="3:11" ht="15.75" x14ac:dyDescent="0.25">
      <c r="C199" s="103"/>
      <c r="D199" s="106"/>
      <c r="E199" s="20" t="s">
        <v>185</v>
      </c>
      <c r="F199" s="5">
        <v>3</v>
      </c>
      <c r="G199" s="35">
        <v>19</v>
      </c>
      <c r="H199" s="54">
        <v>0</v>
      </c>
      <c r="I199" s="54">
        <v>0</v>
      </c>
      <c r="J199" s="54"/>
      <c r="K199" s="32">
        <f t="shared" si="2"/>
        <v>22</v>
      </c>
    </row>
    <row r="200" spans="3:11" ht="15.75" x14ac:dyDescent="0.25">
      <c r="C200" s="103"/>
      <c r="D200" s="106"/>
      <c r="E200" s="20" t="s">
        <v>186</v>
      </c>
      <c r="F200" s="5">
        <v>13</v>
      </c>
      <c r="G200" s="35">
        <v>40</v>
      </c>
      <c r="H200" s="54">
        <v>0</v>
      </c>
      <c r="I200" s="54">
        <v>0</v>
      </c>
      <c r="J200" s="54"/>
      <c r="K200" s="32">
        <f t="shared" si="2"/>
        <v>53</v>
      </c>
    </row>
    <row r="201" spans="3:11" ht="15.75" x14ac:dyDescent="0.25">
      <c r="C201" s="103"/>
      <c r="D201" s="106"/>
      <c r="E201" s="20" t="s">
        <v>187</v>
      </c>
      <c r="F201" s="5">
        <v>11</v>
      </c>
      <c r="G201" s="35">
        <v>1</v>
      </c>
      <c r="H201" s="54">
        <v>29</v>
      </c>
      <c r="I201" s="54">
        <v>5</v>
      </c>
      <c r="J201" s="54"/>
      <c r="K201" s="32">
        <f t="shared" si="2"/>
        <v>46</v>
      </c>
    </row>
    <row r="202" spans="3:11" ht="15.75" x14ac:dyDescent="0.25">
      <c r="C202" s="103"/>
      <c r="D202" s="106"/>
      <c r="E202" s="20" t="s">
        <v>188</v>
      </c>
      <c r="F202" s="5">
        <v>112</v>
      </c>
      <c r="G202" s="35">
        <v>49</v>
      </c>
      <c r="H202" s="54">
        <v>0</v>
      </c>
      <c r="I202" s="54">
        <v>168</v>
      </c>
      <c r="J202" s="54"/>
      <c r="K202" s="32">
        <f t="shared" si="2"/>
        <v>329</v>
      </c>
    </row>
    <row r="203" spans="3:11" ht="15.75" x14ac:dyDescent="0.25">
      <c r="C203" s="103"/>
      <c r="D203" s="106"/>
      <c r="E203" s="20" t="s">
        <v>189</v>
      </c>
      <c r="F203" s="5">
        <v>1</v>
      </c>
      <c r="G203" s="35">
        <v>2</v>
      </c>
      <c r="H203" s="54">
        <v>0</v>
      </c>
      <c r="I203" s="54">
        <v>3</v>
      </c>
      <c r="J203" s="54"/>
      <c r="K203" s="32">
        <f t="shared" si="2"/>
        <v>6</v>
      </c>
    </row>
    <row r="204" spans="3:11" ht="15.75" x14ac:dyDescent="0.25">
      <c r="C204" s="103"/>
      <c r="D204" s="106"/>
      <c r="E204" s="20" t="s">
        <v>190</v>
      </c>
      <c r="F204" s="5">
        <v>0</v>
      </c>
      <c r="G204" s="35">
        <v>205</v>
      </c>
      <c r="H204" s="54">
        <v>0</v>
      </c>
      <c r="I204" s="54">
        <v>6</v>
      </c>
      <c r="J204" s="54"/>
      <c r="K204" s="32">
        <f t="shared" si="2"/>
        <v>211</v>
      </c>
    </row>
    <row r="205" spans="3:11" ht="15.75" x14ac:dyDescent="0.25">
      <c r="C205" s="103"/>
      <c r="D205" s="106"/>
      <c r="E205" s="20" t="s">
        <v>191</v>
      </c>
      <c r="F205" s="5">
        <v>4</v>
      </c>
      <c r="G205" s="35">
        <v>1</v>
      </c>
      <c r="H205" s="54">
        <v>73</v>
      </c>
      <c r="I205" s="54">
        <v>28</v>
      </c>
      <c r="J205" s="54">
        <v>38</v>
      </c>
      <c r="K205" s="32">
        <f t="shared" si="2"/>
        <v>144</v>
      </c>
    </row>
    <row r="206" spans="3:11" ht="15.75" x14ac:dyDescent="0.25">
      <c r="C206" s="103"/>
      <c r="D206" s="106"/>
      <c r="E206" s="20" t="s">
        <v>192</v>
      </c>
      <c r="F206" s="5">
        <v>39</v>
      </c>
      <c r="G206" s="35">
        <v>0</v>
      </c>
      <c r="H206" s="54">
        <v>1</v>
      </c>
      <c r="I206" s="54">
        <v>41</v>
      </c>
      <c r="J206" s="54">
        <v>23</v>
      </c>
      <c r="K206" s="32">
        <f t="shared" si="2"/>
        <v>104</v>
      </c>
    </row>
    <row r="207" spans="3:11" ht="15.75" x14ac:dyDescent="0.25">
      <c r="C207" s="103"/>
      <c r="D207" s="106"/>
      <c r="E207" s="20" t="s">
        <v>193</v>
      </c>
      <c r="F207" s="5">
        <v>0</v>
      </c>
      <c r="G207" s="35">
        <v>0</v>
      </c>
      <c r="H207" s="54">
        <v>0</v>
      </c>
      <c r="I207" s="54">
        <v>35</v>
      </c>
      <c r="J207" s="54">
        <v>32</v>
      </c>
      <c r="K207" s="32">
        <f t="shared" ref="K207:K270" si="3">SUM(F207:J207)</f>
        <v>67</v>
      </c>
    </row>
    <row r="208" spans="3:11" ht="15.75" x14ac:dyDescent="0.25">
      <c r="C208" s="103"/>
      <c r="D208" s="106"/>
      <c r="E208" s="20" t="s">
        <v>194</v>
      </c>
      <c r="F208" s="5">
        <v>1</v>
      </c>
      <c r="G208" s="35">
        <v>35</v>
      </c>
      <c r="H208" s="54">
        <v>0</v>
      </c>
      <c r="I208" s="54">
        <v>1</v>
      </c>
      <c r="J208" s="54">
        <v>10</v>
      </c>
      <c r="K208" s="32">
        <f t="shared" si="3"/>
        <v>47</v>
      </c>
    </row>
    <row r="209" spans="3:11" ht="15.75" x14ac:dyDescent="0.25">
      <c r="C209" s="103"/>
      <c r="D209" s="106"/>
      <c r="E209" s="20" t="s">
        <v>195</v>
      </c>
      <c r="F209" s="5">
        <v>31</v>
      </c>
      <c r="G209" s="35">
        <v>0</v>
      </c>
      <c r="H209" s="54">
        <v>24</v>
      </c>
      <c r="I209" s="54">
        <v>3</v>
      </c>
      <c r="J209" s="54">
        <v>6</v>
      </c>
      <c r="K209" s="32">
        <f t="shared" si="3"/>
        <v>64</v>
      </c>
    </row>
    <row r="210" spans="3:11" ht="15.75" x14ac:dyDescent="0.25">
      <c r="C210" s="103"/>
      <c r="D210" s="106"/>
      <c r="E210" s="20" t="s">
        <v>196</v>
      </c>
      <c r="F210" s="5">
        <v>14</v>
      </c>
      <c r="G210" s="35">
        <v>0</v>
      </c>
      <c r="H210" s="54">
        <v>3</v>
      </c>
      <c r="I210" s="54">
        <v>0</v>
      </c>
      <c r="J210" s="54"/>
      <c r="K210" s="32">
        <f t="shared" si="3"/>
        <v>17</v>
      </c>
    </row>
    <row r="211" spans="3:11" ht="15.75" x14ac:dyDescent="0.25">
      <c r="C211" s="103"/>
      <c r="D211" s="106"/>
      <c r="E211" s="20" t="s">
        <v>197</v>
      </c>
      <c r="F211" s="5">
        <v>8</v>
      </c>
      <c r="G211" s="35">
        <v>13</v>
      </c>
      <c r="H211" s="54">
        <v>0</v>
      </c>
      <c r="I211" s="54">
        <v>0</v>
      </c>
      <c r="J211" s="54">
        <v>0</v>
      </c>
      <c r="K211" s="32">
        <f t="shared" si="3"/>
        <v>21</v>
      </c>
    </row>
    <row r="212" spans="3:11" ht="15.75" x14ac:dyDescent="0.25">
      <c r="C212" s="103"/>
      <c r="D212" s="106"/>
      <c r="E212" s="20" t="s">
        <v>198</v>
      </c>
      <c r="F212" s="5">
        <v>0</v>
      </c>
      <c r="G212" s="35">
        <v>2</v>
      </c>
      <c r="H212" s="54">
        <v>22</v>
      </c>
      <c r="I212" s="54">
        <v>3</v>
      </c>
      <c r="J212" s="54"/>
      <c r="K212" s="32">
        <f t="shared" si="3"/>
        <v>27</v>
      </c>
    </row>
    <row r="213" spans="3:11" ht="15.75" x14ac:dyDescent="0.25">
      <c r="C213" s="103"/>
      <c r="D213" s="106"/>
      <c r="E213" s="20" t="s">
        <v>199</v>
      </c>
      <c r="F213" s="5">
        <v>0</v>
      </c>
      <c r="G213" s="35">
        <v>8</v>
      </c>
      <c r="H213" s="54">
        <v>5</v>
      </c>
      <c r="I213" s="54">
        <v>0</v>
      </c>
      <c r="J213" s="54">
        <v>1</v>
      </c>
      <c r="K213" s="32">
        <f t="shared" si="3"/>
        <v>14</v>
      </c>
    </row>
    <row r="214" spans="3:11" ht="15.75" x14ac:dyDescent="0.25">
      <c r="C214" s="103"/>
      <c r="D214" s="106"/>
      <c r="E214" s="20" t="s">
        <v>200</v>
      </c>
      <c r="F214" s="5">
        <v>4</v>
      </c>
      <c r="G214" s="35">
        <v>0</v>
      </c>
      <c r="H214" s="54">
        <v>22</v>
      </c>
      <c r="I214" s="54">
        <v>0</v>
      </c>
      <c r="J214" s="54">
        <v>97</v>
      </c>
      <c r="K214" s="32">
        <f t="shared" si="3"/>
        <v>123</v>
      </c>
    </row>
    <row r="215" spans="3:11" ht="15.75" x14ac:dyDescent="0.25">
      <c r="C215" s="103"/>
      <c r="D215" s="106"/>
      <c r="E215" s="20" t="s">
        <v>201</v>
      </c>
      <c r="F215" s="5">
        <v>1</v>
      </c>
      <c r="G215" s="35">
        <v>0</v>
      </c>
      <c r="H215" s="54">
        <v>1</v>
      </c>
      <c r="I215" s="54">
        <v>0</v>
      </c>
      <c r="J215" s="54">
        <v>19</v>
      </c>
      <c r="K215" s="32">
        <f t="shared" si="3"/>
        <v>21</v>
      </c>
    </row>
    <row r="216" spans="3:11" ht="15.75" x14ac:dyDescent="0.25">
      <c r="C216" s="103"/>
      <c r="D216" s="106"/>
      <c r="E216" s="20" t="s">
        <v>202</v>
      </c>
      <c r="F216" s="5">
        <v>2</v>
      </c>
      <c r="G216" s="35">
        <v>13</v>
      </c>
      <c r="H216" s="54">
        <v>0</v>
      </c>
      <c r="I216" s="54">
        <v>0</v>
      </c>
      <c r="J216" s="54">
        <v>51</v>
      </c>
      <c r="K216" s="32">
        <f t="shared" si="3"/>
        <v>66</v>
      </c>
    </row>
    <row r="217" spans="3:11" ht="15.75" x14ac:dyDescent="0.25">
      <c r="C217" s="103"/>
      <c r="D217" s="106"/>
      <c r="E217" s="20" t="s">
        <v>203</v>
      </c>
      <c r="F217" s="5">
        <v>2</v>
      </c>
      <c r="G217" s="35">
        <v>3</v>
      </c>
      <c r="H217" s="54">
        <v>0</v>
      </c>
      <c r="I217" s="54">
        <v>179</v>
      </c>
      <c r="J217" s="54">
        <v>47</v>
      </c>
      <c r="K217" s="32">
        <f t="shared" si="3"/>
        <v>231</v>
      </c>
    </row>
    <row r="218" spans="3:11" ht="15.75" x14ac:dyDescent="0.25">
      <c r="C218" s="103"/>
      <c r="D218" s="106"/>
      <c r="E218" s="20" t="s">
        <v>204</v>
      </c>
      <c r="F218" s="5">
        <v>4</v>
      </c>
      <c r="G218" s="35">
        <v>13</v>
      </c>
      <c r="H218" s="54">
        <v>0</v>
      </c>
      <c r="I218" s="54">
        <v>73</v>
      </c>
      <c r="J218" s="54">
        <v>11</v>
      </c>
      <c r="K218" s="32">
        <f t="shared" si="3"/>
        <v>101</v>
      </c>
    </row>
    <row r="219" spans="3:11" ht="15.75" x14ac:dyDescent="0.25">
      <c r="C219" s="103"/>
      <c r="D219" s="106"/>
      <c r="E219" s="20" t="s">
        <v>205</v>
      </c>
      <c r="F219" s="5">
        <v>4</v>
      </c>
      <c r="G219" s="35">
        <v>2</v>
      </c>
      <c r="H219" s="54">
        <v>6</v>
      </c>
      <c r="I219" s="54">
        <v>1</v>
      </c>
      <c r="J219" s="54">
        <v>3</v>
      </c>
      <c r="K219" s="32">
        <f t="shared" si="3"/>
        <v>16</v>
      </c>
    </row>
    <row r="220" spans="3:11" ht="15.75" x14ac:dyDescent="0.25">
      <c r="C220" s="103"/>
      <c r="D220" s="106"/>
      <c r="E220" s="20" t="s">
        <v>206</v>
      </c>
      <c r="F220" s="5">
        <v>1</v>
      </c>
      <c r="G220" s="35">
        <v>3</v>
      </c>
      <c r="H220" s="54">
        <v>1</v>
      </c>
      <c r="I220" s="54">
        <v>17</v>
      </c>
      <c r="J220" s="54">
        <v>0</v>
      </c>
      <c r="K220" s="32">
        <f t="shared" si="3"/>
        <v>22</v>
      </c>
    </row>
    <row r="221" spans="3:11" ht="15.75" x14ac:dyDescent="0.25">
      <c r="C221" s="103"/>
      <c r="D221" s="106"/>
      <c r="E221" s="20" t="s">
        <v>207</v>
      </c>
      <c r="F221" s="5">
        <v>0</v>
      </c>
      <c r="G221" s="35">
        <v>1</v>
      </c>
      <c r="H221" s="54">
        <v>0</v>
      </c>
      <c r="I221" s="54">
        <v>17</v>
      </c>
      <c r="J221" s="54">
        <v>1</v>
      </c>
      <c r="K221" s="32">
        <f t="shared" si="3"/>
        <v>19</v>
      </c>
    </row>
    <row r="222" spans="3:11" ht="15.75" x14ac:dyDescent="0.25">
      <c r="C222" s="103"/>
      <c r="D222" s="106"/>
      <c r="E222" s="20" t="s">
        <v>208</v>
      </c>
      <c r="F222" s="5">
        <v>0</v>
      </c>
      <c r="G222" s="35">
        <v>0</v>
      </c>
      <c r="H222" s="54">
        <v>0</v>
      </c>
      <c r="I222" s="54">
        <v>6</v>
      </c>
      <c r="J222" s="54"/>
      <c r="K222" s="32">
        <f t="shared" si="3"/>
        <v>6</v>
      </c>
    </row>
    <row r="223" spans="3:11" ht="15.75" x14ac:dyDescent="0.25">
      <c r="C223" s="103"/>
      <c r="D223" s="106"/>
      <c r="E223" s="20" t="s">
        <v>209</v>
      </c>
      <c r="F223" s="5">
        <v>0</v>
      </c>
      <c r="G223" s="35">
        <v>0</v>
      </c>
      <c r="H223" s="54">
        <v>0</v>
      </c>
      <c r="I223" s="54">
        <v>1</v>
      </c>
      <c r="J223" s="54"/>
      <c r="K223" s="32">
        <f t="shared" si="3"/>
        <v>1</v>
      </c>
    </row>
    <row r="224" spans="3:11" ht="15.75" x14ac:dyDescent="0.25">
      <c r="C224" s="103"/>
      <c r="D224" s="106"/>
      <c r="E224" s="20" t="s">
        <v>210</v>
      </c>
      <c r="F224" s="5">
        <v>0</v>
      </c>
      <c r="G224" s="35">
        <v>0</v>
      </c>
      <c r="H224" s="54">
        <v>0</v>
      </c>
      <c r="I224" s="54">
        <v>0</v>
      </c>
      <c r="J224" s="54">
        <v>0</v>
      </c>
      <c r="K224" s="32">
        <f t="shared" si="3"/>
        <v>0</v>
      </c>
    </row>
    <row r="225" spans="3:11" ht="15.75" x14ac:dyDescent="0.25">
      <c r="C225" s="104"/>
      <c r="D225" s="107"/>
      <c r="E225" s="20" t="s">
        <v>211</v>
      </c>
      <c r="F225" s="5">
        <v>168</v>
      </c>
      <c r="G225" s="35">
        <v>0</v>
      </c>
      <c r="H225" s="54">
        <v>0</v>
      </c>
      <c r="I225" s="54">
        <v>0</v>
      </c>
      <c r="J225" s="54">
        <v>0</v>
      </c>
      <c r="K225" s="32">
        <f t="shared" si="3"/>
        <v>168</v>
      </c>
    </row>
    <row r="226" spans="3:11" ht="15.75" x14ac:dyDescent="0.25">
      <c r="C226" s="120">
        <v>27</v>
      </c>
      <c r="D226" s="123" t="s">
        <v>212</v>
      </c>
      <c r="E226" s="23" t="s">
        <v>122</v>
      </c>
      <c r="F226" s="8">
        <v>16</v>
      </c>
      <c r="G226" s="38">
        <v>0</v>
      </c>
      <c r="H226" s="57">
        <v>0</v>
      </c>
      <c r="I226" s="57">
        <v>6</v>
      </c>
      <c r="J226" s="57">
        <v>0</v>
      </c>
      <c r="K226" s="32">
        <f t="shared" si="3"/>
        <v>22</v>
      </c>
    </row>
    <row r="227" spans="3:11" ht="15.75" x14ac:dyDescent="0.25">
      <c r="C227" s="121"/>
      <c r="D227" s="124"/>
      <c r="E227" s="23" t="s">
        <v>213</v>
      </c>
      <c r="F227" s="8">
        <v>42</v>
      </c>
      <c r="G227" s="38">
        <v>341</v>
      </c>
      <c r="H227" s="57">
        <v>0</v>
      </c>
      <c r="I227" s="57">
        <v>17</v>
      </c>
      <c r="J227" s="57">
        <v>0</v>
      </c>
      <c r="K227" s="32">
        <f t="shared" si="3"/>
        <v>400</v>
      </c>
    </row>
    <row r="228" spans="3:11" ht="15.75" x14ac:dyDescent="0.25">
      <c r="C228" s="121"/>
      <c r="D228" s="124"/>
      <c r="E228" s="23" t="s">
        <v>214</v>
      </c>
      <c r="F228" s="8">
        <v>24</v>
      </c>
      <c r="G228" s="38">
        <v>121</v>
      </c>
      <c r="H228" s="57">
        <v>155</v>
      </c>
      <c r="I228" s="57">
        <v>8</v>
      </c>
      <c r="J228" s="57"/>
      <c r="K228" s="32">
        <f t="shared" si="3"/>
        <v>308</v>
      </c>
    </row>
    <row r="229" spans="3:11" ht="15.75" x14ac:dyDescent="0.25">
      <c r="C229" s="121"/>
      <c r="D229" s="124"/>
      <c r="E229" s="23" t="s">
        <v>215</v>
      </c>
      <c r="F229" s="8">
        <v>26</v>
      </c>
      <c r="G229" s="38">
        <v>65</v>
      </c>
      <c r="H229" s="57">
        <v>3</v>
      </c>
      <c r="I229" s="57">
        <v>35</v>
      </c>
      <c r="J229" s="57">
        <v>20</v>
      </c>
      <c r="K229" s="32">
        <f t="shared" si="3"/>
        <v>149</v>
      </c>
    </row>
    <row r="230" spans="3:11" ht="15.75" x14ac:dyDescent="0.25">
      <c r="C230" s="121"/>
      <c r="D230" s="124"/>
      <c r="E230" s="23" t="s">
        <v>216</v>
      </c>
      <c r="F230" s="8">
        <v>16</v>
      </c>
      <c r="G230" s="38">
        <v>38</v>
      </c>
      <c r="H230" s="57">
        <v>41</v>
      </c>
      <c r="I230" s="57">
        <v>0</v>
      </c>
      <c r="J230" s="57">
        <v>0</v>
      </c>
      <c r="K230" s="32">
        <f t="shared" si="3"/>
        <v>95</v>
      </c>
    </row>
    <row r="231" spans="3:11" ht="15.75" x14ac:dyDescent="0.25">
      <c r="C231" s="121"/>
      <c r="D231" s="124"/>
      <c r="E231" s="23" t="s">
        <v>217</v>
      </c>
      <c r="F231" s="8">
        <v>5</v>
      </c>
      <c r="G231" s="38">
        <v>36</v>
      </c>
      <c r="H231" s="57">
        <v>33</v>
      </c>
      <c r="I231" s="57">
        <v>0</v>
      </c>
      <c r="J231" s="57">
        <v>4</v>
      </c>
      <c r="K231" s="32">
        <f t="shared" si="3"/>
        <v>78</v>
      </c>
    </row>
    <row r="232" spans="3:11" ht="15.75" x14ac:dyDescent="0.25">
      <c r="C232" s="121"/>
      <c r="D232" s="124"/>
      <c r="E232" s="23" t="s">
        <v>218</v>
      </c>
      <c r="F232" s="8">
        <v>5</v>
      </c>
      <c r="G232" s="38">
        <v>25</v>
      </c>
      <c r="H232" s="57">
        <v>4</v>
      </c>
      <c r="I232" s="57">
        <v>0</v>
      </c>
      <c r="J232" s="57">
        <v>0</v>
      </c>
      <c r="K232" s="32">
        <f t="shared" si="3"/>
        <v>34</v>
      </c>
    </row>
    <row r="233" spans="3:11" ht="15.75" x14ac:dyDescent="0.25">
      <c r="C233" s="121"/>
      <c r="D233" s="124"/>
      <c r="E233" s="23" t="s">
        <v>219</v>
      </c>
      <c r="F233" s="8">
        <v>6</v>
      </c>
      <c r="G233" s="38">
        <v>5</v>
      </c>
      <c r="H233" s="57">
        <v>20</v>
      </c>
      <c r="I233" s="57">
        <v>0</v>
      </c>
      <c r="J233" s="57">
        <v>0</v>
      </c>
      <c r="K233" s="32">
        <f t="shared" si="3"/>
        <v>31</v>
      </c>
    </row>
    <row r="234" spans="3:11" ht="15.75" x14ac:dyDescent="0.25">
      <c r="C234" s="121"/>
      <c r="D234" s="124"/>
      <c r="E234" s="23" t="s">
        <v>220</v>
      </c>
      <c r="F234" s="8">
        <v>25</v>
      </c>
      <c r="G234" s="38">
        <v>7</v>
      </c>
      <c r="H234" s="57">
        <v>4</v>
      </c>
      <c r="I234" s="57">
        <v>0</v>
      </c>
      <c r="J234" s="57">
        <v>4</v>
      </c>
      <c r="K234" s="32">
        <f t="shared" si="3"/>
        <v>40</v>
      </c>
    </row>
    <row r="235" spans="3:11" ht="15.75" x14ac:dyDescent="0.25">
      <c r="C235" s="121"/>
      <c r="D235" s="124"/>
      <c r="E235" s="23" t="s">
        <v>221</v>
      </c>
      <c r="F235" s="8">
        <v>3</v>
      </c>
      <c r="G235" s="38">
        <v>1</v>
      </c>
      <c r="H235" s="57">
        <v>7</v>
      </c>
      <c r="I235" s="57">
        <v>0</v>
      </c>
      <c r="J235" s="57">
        <v>20</v>
      </c>
      <c r="K235" s="32">
        <f t="shared" si="3"/>
        <v>31</v>
      </c>
    </row>
    <row r="236" spans="3:11" ht="15.75" x14ac:dyDescent="0.25">
      <c r="C236" s="122"/>
      <c r="D236" s="125"/>
      <c r="E236" s="23" t="s">
        <v>16</v>
      </c>
      <c r="F236" s="8">
        <v>53</v>
      </c>
      <c r="G236" s="38">
        <v>40</v>
      </c>
      <c r="H236" s="57">
        <v>2</v>
      </c>
      <c r="I236" s="57">
        <v>0</v>
      </c>
      <c r="J236" s="57">
        <v>6</v>
      </c>
      <c r="K236" s="32">
        <f t="shared" si="3"/>
        <v>101</v>
      </c>
    </row>
    <row r="237" spans="3:11" ht="15.75" x14ac:dyDescent="0.25">
      <c r="C237" s="126">
        <v>28</v>
      </c>
      <c r="D237" s="129" t="s">
        <v>222</v>
      </c>
      <c r="E237" s="24" t="s">
        <v>41</v>
      </c>
      <c r="F237" s="9">
        <v>2</v>
      </c>
      <c r="G237" s="39">
        <v>3</v>
      </c>
      <c r="H237" s="53">
        <v>33</v>
      </c>
      <c r="I237" s="53">
        <v>0</v>
      </c>
      <c r="J237" s="53">
        <v>9</v>
      </c>
      <c r="K237" s="32">
        <f t="shared" si="3"/>
        <v>47</v>
      </c>
    </row>
    <row r="238" spans="3:11" ht="15.75" x14ac:dyDescent="0.25">
      <c r="C238" s="127"/>
      <c r="D238" s="130"/>
      <c r="E238" s="24" t="s">
        <v>223</v>
      </c>
      <c r="F238" s="9">
        <v>5</v>
      </c>
      <c r="G238" s="39">
        <v>80</v>
      </c>
      <c r="H238" s="53">
        <v>8</v>
      </c>
      <c r="I238" s="53">
        <v>35</v>
      </c>
      <c r="J238" s="53">
        <v>0</v>
      </c>
      <c r="K238" s="32">
        <f t="shared" si="3"/>
        <v>128</v>
      </c>
    </row>
    <row r="239" spans="3:11" ht="15.75" x14ac:dyDescent="0.25">
      <c r="C239" s="127"/>
      <c r="D239" s="130"/>
      <c r="E239" s="24" t="s">
        <v>224</v>
      </c>
      <c r="F239" s="9">
        <v>0</v>
      </c>
      <c r="G239" s="39">
        <v>0</v>
      </c>
      <c r="H239" s="53">
        <v>0</v>
      </c>
      <c r="I239" s="53">
        <v>0</v>
      </c>
      <c r="J239" s="53">
        <v>0</v>
      </c>
      <c r="K239" s="32">
        <f t="shared" si="3"/>
        <v>0</v>
      </c>
    </row>
    <row r="240" spans="3:11" ht="15.75" x14ac:dyDescent="0.25">
      <c r="C240" s="127"/>
      <c r="D240" s="130"/>
      <c r="E240" s="24" t="s">
        <v>225</v>
      </c>
      <c r="F240" s="9">
        <v>7</v>
      </c>
      <c r="G240" s="39">
        <v>13</v>
      </c>
      <c r="H240" s="53">
        <v>0</v>
      </c>
      <c r="I240" s="53">
        <v>0</v>
      </c>
      <c r="J240" s="53">
        <v>0</v>
      </c>
      <c r="K240" s="32">
        <f t="shared" si="3"/>
        <v>20</v>
      </c>
    </row>
    <row r="241" spans="3:11" ht="15.75" x14ac:dyDescent="0.25">
      <c r="C241" s="127"/>
      <c r="D241" s="130"/>
      <c r="E241" s="24" t="s">
        <v>226</v>
      </c>
      <c r="F241" s="9">
        <v>2</v>
      </c>
      <c r="G241" s="39">
        <v>0</v>
      </c>
      <c r="H241" s="53">
        <v>0</v>
      </c>
      <c r="I241" s="53">
        <v>0</v>
      </c>
      <c r="J241" s="53">
        <v>0</v>
      </c>
      <c r="K241" s="32">
        <f t="shared" si="3"/>
        <v>2</v>
      </c>
    </row>
    <row r="242" spans="3:11" ht="15.75" x14ac:dyDescent="0.25">
      <c r="C242" s="127"/>
      <c r="D242" s="130"/>
      <c r="E242" s="24" t="s">
        <v>227</v>
      </c>
      <c r="F242" s="9">
        <v>0</v>
      </c>
      <c r="G242" s="39">
        <v>0</v>
      </c>
      <c r="H242" s="53">
        <v>0</v>
      </c>
      <c r="I242" s="53">
        <v>0</v>
      </c>
      <c r="J242" s="53">
        <v>0</v>
      </c>
      <c r="K242" s="32">
        <f t="shared" si="3"/>
        <v>0</v>
      </c>
    </row>
    <row r="243" spans="3:11" ht="15.75" x14ac:dyDescent="0.25">
      <c r="C243" s="127"/>
      <c r="D243" s="130"/>
      <c r="E243" s="24" t="s">
        <v>228</v>
      </c>
      <c r="F243" s="9">
        <v>2</v>
      </c>
      <c r="G243" s="39">
        <v>1</v>
      </c>
      <c r="H243" s="53">
        <v>0</v>
      </c>
      <c r="I243" s="53">
        <v>7</v>
      </c>
      <c r="J243" s="53">
        <v>0</v>
      </c>
      <c r="K243" s="32">
        <f t="shared" si="3"/>
        <v>10</v>
      </c>
    </row>
    <row r="244" spans="3:11" ht="15.75" x14ac:dyDescent="0.25">
      <c r="C244" s="127"/>
      <c r="D244" s="130"/>
      <c r="E244" s="24" t="s">
        <v>229</v>
      </c>
      <c r="F244" s="9">
        <v>4</v>
      </c>
      <c r="G244" s="39">
        <v>0</v>
      </c>
      <c r="H244" s="53">
        <v>0</v>
      </c>
      <c r="I244" s="53">
        <v>5</v>
      </c>
      <c r="J244" s="53">
        <v>0</v>
      </c>
      <c r="K244" s="32">
        <f t="shared" si="3"/>
        <v>9</v>
      </c>
    </row>
    <row r="245" spans="3:11" ht="15.75" x14ac:dyDescent="0.25">
      <c r="C245" s="127"/>
      <c r="D245" s="130"/>
      <c r="E245" s="24" t="s">
        <v>230</v>
      </c>
      <c r="F245" s="9">
        <v>34</v>
      </c>
      <c r="G245" s="39">
        <v>0</v>
      </c>
      <c r="H245" s="53">
        <v>0</v>
      </c>
      <c r="I245" s="53">
        <v>0</v>
      </c>
      <c r="J245" s="53">
        <v>0</v>
      </c>
      <c r="K245" s="32">
        <f t="shared" si="3"/>
        <v>34</v>
      </c>
    </row>
    <row r="246" spans="3:11" ht="15.75" x14ac:dyDescent="0.25">
      <c r="C246" s="127"/>
      <c r="D246" s="130"/>
      <c r="E246" s="24" t="s">
        <v>231</v>
      </c>
      <c r="F246" s="9">
        <v>1</v>
      </c>
      <c r="G246" s="39">
        <v>1</v>
      </c>
      <c r="H246" s="53">
        <v>0</v>
      </c>
      <c r="I246" s="53">
        <v>0</v>
      </c>
      <c r="J246" s="53">
        <v>0</v>
      </c>
      <c r="K246" s="32">
        <f t="shared" si="3"/>
        <v>2</v>
      </c>
    </row>
    <row r="247" spans="3:11" ht="15.75" x14ac:dyDescent="0.25">
      <c r="C247" s="127"/>
      <c r="D247" s="130"/>
      <c r="E247" s="24" t="s">
        <v>232</v>
      </c>
      <c r="F247" s="9">
        <v>0</v>
      </c>
      <c r="G247" s="39">
        <v>65</v>
      </c>
      <c r="H247" s="53">
        <v>0</v>
      </c>
      <c r="I247" s="53">
        <v>2</v>
      </c>
      <c r="J247" s="53">
        <v>6</v>
      </c>
      <c r="K247" s="32">
        <f t="shared" si="3"/>
        <v>73</v>
      </c>
    </row>
    <row r="248" spans="3:11" ht="15.75" x14ac:dyDescent="0.25">
      <c r="C248" s="127"/>
      <c r="D248" s="130"/>
      <c r="E248" s="24" t="s">
        <v>233</v>
      </c>
      <c r="F248" s="9">
        <v>4</v>
      </c>
      <c r="G248" s="39">
        <v>0</v>
      </c>
      <c r="H248" s="53">
        <v>0</v>
      </c>
      <c r="I248" s="53">
        <v>0</v>
      </c>
      <c r="J248" s="53">
        <v>0</v>
      </c>
      <c r="K248" s="32">
        <f t="shared" si="3"/>
        <v>4</v>
      </c>
    </row>
    <row r="249" spans="3:11" ht="15.75" x14ac:dyDescent="0.25">
      <c r="C249" s="128"/>
      <c r="D249" s="131"/>
      <c r="E249" s="24" t="s">
        <v>16</v>
      </c>
      <c r="F249" s="9">
        <v>0</v>
      </c>
      <c r="G249" s="39">
        <v>0</v>
      </c>
      <c r="H249" s="53">
        <v>0</v>
      </c>
      <c r="I249" s="53">
        <v>0</v>
      </c>
      <c r="J249" s="53">
        <v>3</v>
      </c>
      <c r="K249" s="32">
        <f t="shared" si="3"/>
        <v>3</v>
      </c>
    </row>
    <row r="250" spans="3:11" ht="15.75" x14ac:dyDescent="0.25">
      <c r="C250" s="120">
        <v>29</v>
      </c>
      <c r="D250" s="123" t="s">
        <v>234</v>
      </c>
      <c r="E250" s="23" t="s">
        <v>41</v>
      </c>
      <c r="F250" s="8">
        <v>8</v>
      </c>
      <c r="G250" s="38">
        <v>0</v>
      </c>
      <c r="H250" s="57">
        <v>0</v>
      </c>
      <c r="I250" s="57">
        <v>717</v>
      </c>
      <c r="J250" s="57">
        <v>0</v>
      </c>
      <c r="K250" s="32">
        <f t="shared" si="3"/>
        <v>725</v>
      </c>
    </row>
    <row r="251" spans="3:11" ht="15.75" x14ac:dyDescent="0.25">
      <c r="C251" s="121"/>
      <c r="D251" s="124"/>
      <c r="E251" s="23" t="s">
        <v>235</v>
      </c>
      <c r="F251" s="8">
        <v>3</v>
      </c>
      <c r="G251" s="38">
        <v>0</v>
      </c>
      <c r="H251" s="57">
        <v>0</v>
      </c>
      <c r="I251" s="57">
        <v>1</v>
      </c>
      <c r="J251" s="57">
        <v>2</v>
      </c>
      <c r="K251" s="32">
        <f t="shared" si="3"/>
        <v>6</v>
      </c>
    </row>
    <row r="252" spans="3:11" ht="15.75" x14ac:dyDescent="0.25">
      <c r="C252" s="121"/>
      <c r="D252" s="124"/>
      <c r="E252" s="23" t="s">
        <v>236</v>
      </c>
      <c r="F252" s="8">
        <v>3</v>
      </c>
      <c r="G252" s="38">
        <v>14</v>
      </c>
      <c r="H252" s="57">
        <v>0</v>
      </c>
      <c r="I252" s="57">
        <v>62</v>
      </c>
      <c r="J252" s="57">
        <v>0</v>
      </c>
      <c r="K252" s="32">
        <f t="shared" si="3"/>
        <v>79</v>
      </c>
    </row>
    <row r="253" spans="3:11" ht="15.75" x14ac:dyDescent="0.25">
      <c r="C253" s="121"/>
      <c r="D253" s="124"/>
      <c r="E253" s="23" t="s">
        <v>237</v>
      </c>
      <c r="F253" s="8">
        <v>0</v>
      </c>
      <c r="G253" s="38">
        <v>0</v>
      </c>
      <c r="H253" s="57">
        <v>14</v>
      </c>
      <c r="I253" s="57">
        <v>551</v>
      </c>
      <c r="J253" s="57">
        <v>0</v>
      </c>
      <c r="K253" s="32">
        <f t="shared" si="3"/>
        <v>565</v>
      </c>
    </row>
    <row r="254" spans="3:11" ht="15.75" x14ac:dyDescent="0.25">
      <c r="C254" s="121"/>
      <c r="D254" s="124"/>
      <c r="E254" s="23" t="s">
        <v>238</v>
      </c>
      <c r="F254" s="8">
        <v>1</v>
      </c>
      <c r="G254" s="38">
        <v>7</v>
      </c>
      <c r="H254" s="57">
        <v>6</v>
      </c>
      <c r="I254" s="57">
        <v>9</v>
      </c>
      <c r="J254" s="57">
        <v>0</v>
      </c>
      <c r="K254" s="32">
        <f t="shared" si="3"/>
        <v>23</v>
      </c>
    </row>
    <row r="255" spans="3:11" ht="15.75" x14ac:dyDescent="0.25">
      <c r="C255" s="121"/>
      <c r="D255" s="124"/>
      <c r="E255" s="23" t="s">
        <v>239</v>
      </c>
      <c r="F255" s="8">
        <v>0</v>
      </c>
      <c r="G255" s="38">
        <v>5</v>
      </c>
      <c r="H255" s="57">
        <v>4</v>
      </c>
      <c r="I255" s="57">
        <v>10</v>
      </c>
      <c r="J255" s="57">
        <v>0</v>
      </c>
      <c r="K255" s="32">
        <f t="shared" si="3"/>
        <v>19</v>
      </c>
    </row>
    <row r="256" spans="3:11" ht="15.75" x14ac:dyDescent="0.25">
      <c r="C256" s="122"/>
      <c r="D256" s="125"/>
      <c r="E256" s="23" t="s">
        <v>33</v>
      </c>
      <c r="F256" s="8">
        <v>1</v>
      </c>
      <c r="G256" s="38">
        <v>1</v>
      </c>
      <c r="H256" s="57">
        <v>3</v>
      </c>
      <c r="I256" s="57">
        <v>13</v>
      </c>
      <c r="J256" s="57">
        <v>0</v>
      </c>
      <c r="K256" s="32">
        <f t="shared" si="3"/>
        <v>18</v>
      </c>
    </row>
    <row r="257" spans="3:11" ht="15.75" x14ac:dyDescent="0.25">
      <c r="C257" s="150">
        <v>30</v>
      </c>
      <c r="D257" s="153" t="s">
        <v>240</v>
      </c>
      <c r="E257" s="26" t="s">
        <v>41</v>
      </c>
      <c r="F257" s="11">
        <v>798</v>
      </c>
      <c r="G257" s="41">
        <v>0</v>
      </c>
      <c r="H257" s="49">
        <v>1</v>
      </c>
      <c r="I257" s="49">
        <v>31</v>
      </c>
      <c r="J257" s="49">
        <v>2</v>
      </c>
      <c r="K257" s="32">
        <f t="shared" si="3"/>
        <v>832</v>
      </c>
    </row>
    <row r="258" spans="3:11" ht="15.75" x14ac:dyDescent="0.25">
      <c r="C258" s="151"/>
      <c r="D258" s="154"/>
      <c r="E258" s="26" t="s">
        <v>241</v>
      </c>
      <c r="F258" s="11">
        <v>0</v>
      </c>
      <c r="G258" s="41">
        <v>1</v>
      </c>
      <c r="H258" s="49">
        <v>0</v>
      </c>
      <c r="I258" s="49">
        <v>6</v>
      </c>
      <c r="J258" s="49">
        <v>612</v>
      </c>
      <c r="K258" s="32">
        <f t="shared" si="3"/>
        <v>619</v>
      </c>
    </row>
    <row r="259" spans="3:11" ht="15.75" x14ac:dyDescent="0.25">
      <c r="C259" s="151"/>
      <c r="D259" s="154"/>
      <c r="E259" s="26" t="s">
        <v>242</v>
      </c>
      <c r="F259" s="11">
        <v>6</v>
      </c>
      <c r="G259" s="41">
        <v>632</v>
      </c>
      <c r="H259" s="49">
        <v>0</v>
      </c>
      <c r="I259" s="49">
        <v>34</v>
      </c>
      <c r="J259" s="49">
        <v>4</v>
      </c>
      <c r="K259" s="32">
        <f t="shared" si="3"/>
        <v>676</v>
      </c>
    </row>
    <row r="260" spans="3:11" ht="15.75" x14ac:dyDescent="0.25">
      <c r="C260" s="151"/>
      <c r="D260" s="154"/>
      <c r="E260" s="26" t="s">
        <v>243</v>
      </c>
      <c r="F260" s="11">
        <v>686</v>
      </c>
      <c r="G260" s="41">
        <v>4</v>
      </c>
      <c r="H260" s="49">
        <v>506</v>
      </c>
      <c r="I260" s="49">
        <v>334</v>
      </c>
      <c r="J260" s="49">
        <v>31</v>
      </c>
      <c r="K260" s="32">
        <f t="shared" si="3"/>
        <v>1561</v>
      </c>
    </row>
    <row r="261" spans="3:11" ht="15.75" x14ac:dyDescent="0.25">
      <c r="C261" s="151"/>
      <c r="D261" s="154"/>
      <c r="E261" s="26" t="s">
        <v>244</v>
      </c>
      <c r="F261" s="11">
        <v>14</v>
      </c>
      <c r="G261" s="41">
        <v>5</v>
      </c>
      <c r="H261" s="49">
        <v>0</v>
      </c>
      <c r="I261" s="49">
        <v>110</v>
      </c>
      <c r="J261" s="49">
        <v>462</v>
      </c>
      <c r="K261" s="32">
        <f t="shared" si="3"/>
        <v>591</v>
      </c>
    </row>
    <row r="262" spans="3:11" ht="15.75" x14ac:dyDescent="0.25">
      <c r="C262" s="151"/>
      <c r="D262" s="154"/>
      <c r="E262" s="26" t="s">
        <v>245</v>
      </c>
      <c r="F262" s="11">
        <v>0</v>
      </c>
      <c r="G262" s="41">
        <v>538</v>
      </c>
      <c r="H262" s="49">
        <v>20</v>
      </c>
      <c r="I262" s="49">
        <v>224</v>
      </c>
      <c r="J262" s="49">
        <v>57</v>
      </c>
      <c r="K262" s="32">
        <f t="shared" si="3"/>
        <v>839</v>
      </c>
    </row>
    <row r="263" spans="3:11" ht="15.75" x14ac:dyDescent="0.25">
      <c r="C263" s="151"/>
      <c r="D263" s="154"/>
      <c r="E263" s="26" t="s">
        <v>246</v>
      </c>
      <c r="F263" s="11">
        <v>10</v>
      </c>
      <c r="G263" s="41">
        <v>8</v>
      </c>
      <c r="H263" s="49">
        <v>417</v>
      </c>
      <c r="I263" s="49">
        <v>209</v>
      </c>
      <c r="J263" s="49">
        <v>0</v>
      </c>
      <c r="K263" s="32">
        <f t="shared" si="3"/>
        <v>644</v>
      </c>
    </row>
    <row r="264" spans="3:11" ht="15.75" x14ac:dyDescent="0.25">
      <c r="C264" s="151"/>
      <c r="D264" s="154"/>
      <c r="E264" s="26" t="s">
        <v>247</v>
      </c>
      <c r="F264" s="11">
        <v>26</v>
      </c>
      <c r="G264" s="41">
        <v>2</v>
      </c>
      <c r="H264" s="49">
        <v>1</v>
      </c>
      <c r="I264" s="49">
        <v>88</v>
      </c>
      <c r="J264" s="49">
        <v>9</v>
      </c>
      <c r="K264" s="32">
        <f t="shared" si="3"/>
        <v>126</v>
      </c>
    </row>
    <row r="265" spans="3:11" ht="15.75" x14ac:dyDescent="0.25">
      <c r="C265" s="151"/>
      <c r="D265" s="154"/>
      <c r="E265" s="26" t="s">
        <v>248</v>
      </c>
      <c r="F265" s="11">
        <v>4</v>
      </c>
      <c r="G265" s="41">
        <v>8</v>
      </c>
      <c r="H265" s="49">
        <v>0</v>
      </c>
      <c r="I265" s="49">
        <v>81</v>
      </c>
      <c r="J265" s="49">
        <v>27</v>
      </c>
      <c r="K265" s="32">
        <f t="shared" si="3"/>
        <v>120</v>
      </c>
    </row>
    <row r="266" spans="3:11" ht="15.75" x14ac:dyDescent="0.25">
      <c r="C266" s="152"/>
      <c r="D266" s="155"/>
      <c r="E266" s="26" t="s">
        <v>33</v>
      </c>
      <c r="F266" s="11">
        <v>52</v>
      </c>
      <c r="G266" s="41">
        <v>26</v>
      </c>
      <c r="H266" s="49">
        <v>12</v>
      </c>
      <c r="I266" s="49">
        <v>32</v>
      </c>
      <c r="J266" s="49">
        <v>4</v>
      </c>
      <c r="K266" s="32">
        <f t="shared" si="3"/>
        <v>126</v>
      </c>
    </row>
    <row r="267" spans="3:11" ht="15.75" x14ac:dyDescent="0.25">
      <c r="C267" s="90">
        <v>31</v>
      </c>
      <c r="D267" s="93" t="s">
        <v>249</v>
      </c>
      <c r="E267" s="17" t="s">
        <v>250</v>
      </c>
      <c r="F267" s="2">
        <v>287</v>
      </c>
      <c r="G267" s="31">
        <v>6</v>
      </c>
      <c r="H267" s="45">
        <v>20</v>
      </c>
      <c r="I267" s="45">
        <v>8</v>
      </c>
      <c r="J267" s="45">
        <v>18</v>
      </c>
      <c r="K267" s="32">
        <f t="shared" si="3"/>
        <v>339</v>
      </c>
    </row>
    <row r="268" spans="3:11" ht="15.75" x14ac:dyDescent="0.25">
      <c r="C268" s="91"/>
      <c r="D268" s="94"/>
      <c r="E268" s="17" t="s">
        <v>251</v>
      </c>
      <c r="F268" s="2">
        <v>80</v>
      </c>
      <c r="G268" s="31">
        <v>35</v>
      </c>
      <c r="H268" s="45">
        <v>1</v>
      </c>
      <c r="I268" s="45">
        <v>0</v>
      </c>
      <c r="J268" s="45">
        <v>352</v>
      </c>
      <c r="K268" s="32">
        <f t="shared" si="3"/>
        <v>468</v>
      </c>
    </row>
    <row r="269" spans="3:11" ht="15.75" x14ac:dyDescent="0.25">
      <c r="C269" s="92"/>
      <c r="D269" s="95"/>
      <c r="E269" s="17" t="s">
        <v>252</v>
      </c>
      <c r="F269" s="2">
        <v>207</v>
      </c>
      <c r="G269" s="31">
        <v>219</v>
      </c>
      <c r="H269" s="45">
        <v>35</v>
      </c>
      <c r="I269" s="45">
        <v>0</v>
      </c>
      <c r="J269" s="45">
        <v>102</v>
      </c>
      <c r="K269" s="32">
        <f t="shared" si="3"/>
        <v>563</v>
      </c>
    </row>
    <row r="270" spans="3:11" ht="15.75" x14ac:dyDescent="0.25">
      <c r="C270" s="102">
        <v>32</v>
      </c>
      <c r="D270" s="105" t="s">
        <v>253</v>
      </c>
      <c r="E270" s="20" t="s">
        <v>41</v>
      </c>
      <c r="F270" s="5">
        <v>210</v>
      </c>
      <c r="G270" s="35">
        <v>70</v>
      </c>
      <c r="H270" s="54">
        <v>223</v>
      </c>
      <c r="I270" s="54">
        <v>0</v>
      </c>
      <c r="J270" s="54">
        <v>250</v>
      </c>
      <c r="K270" s="32">
        <f t="shared" si="3"/>
        <v>753</v>
      </c>
    </row>
    <row r="271" spans="3:11" ht="15.75" x14ac:dyDescent="0.25">
      <c r="C271" s="103"/>
      <c r="D271" s="106"/>
      <c r="E271" s="20" t="s">
        <v>254</v>
      </c>
      <c r="F271" s="5">
        <v>81</v>
      </c>
      <c r="G271" s="35">
        <v>149</v>
      </c>
      <c r="H271" s="54">
        <v>73</v>
      </c>
      <c r="I271" s="54">
        <v>0</v>
      </c>
      <c r="J271" s="54">
        <v>248</v>
      </c>
      <c r="K271" s="32">
        <f t="shared" ref="K271:K296" si="4">SUM(F271:J271)</f>
        <v>551</v>
      </c>
    </row>
    <row r="272" spans="3:11" ht="15.75" x14ac:dyDescent="0.25">
      <c r="C272" s="103"/>
      <c r="D272" s="106"/>
      <c r="E272" s="20" t="s">
        <v>255</v>
      </c>
      <c r="F272" s="5">
        <v>73</v>
      </c>
      <c r="G272" s="35">
        <v>335</v>
      </c>
      <c r="H272" s="54">
        <v>150</v>
      </c>
      <c r="I272" s="54">
        <v>0</v>
      </c>
      <c r="J272" s="54">
        <v>103</v>
      </c>
      <c r="K272" s="32">
        <f t="shared" si="4"/>
        <v>661</v>
      </c>
    </row>
    <row r="273" spans="3:11" ht="15.75" x14ac:dyDescent="0.25">
      <c r="C273" s="103"/>
      <c r="D273" s="106"/>
      <c r="E273" s="20" t="s">
        <v>256</v>
      </c>
      <c r="F273" s="5">
        <v>44</v>
      </c>
      <c r="G273" s="35">
        <v>97</v>
      </c>
      <c r="H273" s="54">
        <v>117</v>
      </c>
      <c r="I273" s="54">
        <v>0</v>
      </c>
      <c r="J273" s="54">
        <v>96</v>
      </c>
      <c r="K273" s="32">
        <f t="shared" si="4"/>
        <v>354</v>
      </c>
    </row>
    <row r="274" spans="3:11" ht="15.75" x14ac:dyDescent="0.25">
      <c r="C274" s="104"/>
      <c r="D274" s="107"/>
      <c r="E274" s="20" t="s">
        <v>16</v>
      </c>
      <c r="F274" s="5">
        <v>12</v>
      </c>
      <c r="G274" s="35">
        <v>60</v>
      </c>
      <c r="H274" s="54">
        <v>47</v>
      </c>
      <c r="I274" s="54">
        <v>0</v>
      </c>
      <c r="J274" s="54">
        <v>17</v>
      </c>
      <c r="K274" s="32">
        <f t="shared" si="4"/>
        <v>136</v>
      </c>
    </row>
    <row r="275" spans="3:11" ht="15.75" x14ac:dyDescent="0.25">
      <c r="C275" s="78">
        <v>33</v>
      </c>
      <c r="D275" s="81" t="s">
        <v>257</v>
      </c>
      <c r="E275" s="19" t="s">
        <v>41</v>
      </c>
      <c r="F275" s="4">
        <v>0</v>
      </c>
      <c r="G275" s="34">
        <v>34</v>
      </c>
      <c r="H275" s="51">
        <v>44</v>
      </c>
      <c r="I275" s="51">
        <v>2</v>
      </c>
      <c r="J275" s="51">
        <v>32</v>
      </c>
      <c r="K275" s="32">
        <f t="shared" si="4"/>
        <v>112</v>
      </c>
    </row>
    <row r="276" spans="3:11" ht="15.75" x14ac:dyDescent="0.25">
      <c r="C276" s="79"/>
      <c r="D276" s="82"/>
      <c r="E276" s="19" t="s">
        <v>258</v>
      </c>
      <c r="F276" s="4">
        <v>0</v>
      </c>
      <c r="G276" s="34">
        <v>144</v>
      </c>
      <c r="H276" s="51">
        <v>22</v>
      </c>
      <c r="I276" s="51">
        <v>0</v>
      </c>
      <c r="J276" s="51">
        <v>0</v>
      </c>
      <c r="K276" s="32">
        <f t="shared" si="4"/>
        <v>166</v>
      </c>
    </row>
    <row r="277" spans="3:11" ht="15.75" x14ac:dyDescent="0.25">
      <c r="C277" s="79"/>
      <c r="D277" s="82"/>
      <c r="E277" s="19" t="s">
        <v>259</v>
      </c>
      <c r="F277" s="4">
        <v>0</v>
      </c>
      <c r="G277" s="34">
        <v>0</v>
      </c>
      <c r="H277" s="51">
        <v>4</v>
      </c>
      <c r="I277" s="51">
        <v>1</v>
      </c>
      <c r="J277" s="51">
        <v>0</v>
      </c>
      <c r="K277" s="32">
        <f t="shared" si="4"/>
        <v>5</v>
      </c>
    </row>
    <row r="278" spans="3:11" ht="15.75" x14ac:dyDescent="0.25">
      <c r="C278" s="79"/>
      <c r="D278" s="82"/>
      <c r="E278" s="19" t="s">
        <v>260</v>
      </c>
      <c r="F278" s="4">
        <v>0</v>
      </c>
      <c r="G278" s="34">
        <v>0</v>
      </c>
      <c r="H278" s="51">
        <v>0</v>
      </c>
      <c r="I278" s="51">
        <v>0</v>
      </c>
      <c r="J278" s="51">
        <v>0</v>
      </c>
      <c r="K278" s="32">
        <f t="shared" si="4"/>
        <v>0</v>
      </c>
    </row>
    <row r="279" spans="3:11" ht="15.75" x14ac:dyDescent="0.25">
      <c r="C279" s="79"/>
      <c r="D279" s="82"/>
      <c r="E279" s="19" t="s">
        <v>261</v>
      </c>
      <c r="F279" s="4">
        <v>0</v>
      </c>
      <c r="G279" s="34">
        <v>0</v>
      </c>
      <c r="H279" s="51">
        <v>0</v>
      </c>
      <c r="I279" s="51">
        <v>1</v>
      </c>
      <c r="J279" s="51">
        <v>0</v>
      </c>
      <c r="K279" s="32">
        <f t="shared" si="4"/>
        <v>1</v>
      </c>
    </row>
    <row r="280" spans="3:11" ht="15.75" x14ac:dyDescent="0.25">
      <c r="C280" s="79"/>
      <c r="D280" s="82"/>
      <c r="E280" s="19" t="s">
        <v>262</v>
      </c>
      <c r="F280" s="4">
        <v>0</v>
      </c>
      <c r="G280" s="34">
        <v>0</v>
      </c>
      <c r="H280" s="51">
        <v>0</v>
      </c>
      <c r="I280" s="51">
        <v>0</v>
      </c>
      <c r="J280" s="51">
        <v>0</v>
      </c>
      <c r="K280" s="32">
        <f t="shared" si="4"/>
        <v>0</v>
      </c>
    </row>
    <row r="281" spans="3:11" ht="15.75" x14ac:dyDescent="0.25">
      <c r="C281" s="80"/>
      <c r="D281" s="83"/>
      <c r="E281" s="19" t="s">
        <v>66</v>
      </c>
      <c r="F281" s="4">
        <v>0</v>
      </c>
      <c r="G281" s="34">
        <v>0</v>
      </c>
      <c r="H281" s="51">
        <v>0</v>
      </c>
      <c r="I281" s="51">
        <v>0</v>
      </c>
      <c r="J281" s="51">
        <v>0</v>
      </c>
      <c r="K281" s="32">
        <f t="shared" si="4"/>
        <v>0</v>
      </c>
    </row>
    <row r="282" spans="3:11" ht="15.75" x14ac:dyDescent="0.25">
      <c r="C282" s="90">
        <v>34</v>
      </c>
      <c r="D282" s="93" t="s">
        <v>263</v>
      </c>
      <c r="E282" s="17" t="s">
        <v>264</v>
      </c>
      <c r="F282" s="2">
        <v>0</v>
      </c>
      <c r="G282" s="31">
        <v>0</v>
      </c>
      <c r="H282" s="45">
        <v>0</v>
      </c>
      <c r="I282" s="45"/>
      <c r="J282" s="45"/>
      <c r="K282" s="32">
        <f t="shared" si="4"/>
        <v>0</v>
      </c>
    </row>
    <row r="283" spans="3:11" ht="15.75" x14ac:dyDescent="0.25">
      <c r="C283" s="91"/>
      <c r="D283" s="94"/>
      <c r="E283" s="17" t="s">
        <v>265</v>
      </c>
      <c r="F283" s="2">
        <v>0</v>
      </c>
      <c r="G283" s="31">
        <v>0</v>
      </c>
      <c r="H283" s="45">
        <v>0</v>
      </c>
      <c r="I283" s="45"/>
      <c r="J283" s="45"/>
      <c r="K283" s="32">
        <f t="shared" si="4"/>
        <v>0</v>
      </c>
    </row>
    <row r="284" spans="3:11" ht="15.75" x14ac:dyDescent="0.25">
      <c r="C284" s="91"/>
      <c r="D284" s="94"/>
      <c r="E284" s="17" t="s">
        <v>266</v>
      </c>
      <c r="F284" s="2">
        <v>0</v>
      </c>
      <c r="G284" s="31">
        <v>0</v>
      </c>
      <c r="H284" s="45">
        <v>0</v>
      </c>
      <c r="I284" s="45"/>
      <c r="J284" s="45"/>
      <c r="K284" s="32">
        <f t="shared" si="4"/>
        <v>0</v>
      </c>
    </row>
    <row r="285" spans="3:11" ht="15.75" x14ac:dyDescent="0.25">
      <c r="C285" s="92"/>
      <c r="D285" s="95"/>
      <c r="E285" s="17" t="s">
        <v>267</v>
      </c>
      <c r="F285" s="2">
        <v>0</v>
      </c>
      <c r="G285" s="31">
        <v>0</v>
      </c>
      <c r="H285" s="45">
        <v>0</v>
      </c>
      <c r="I285" s="45"/>
      <c r="J285" s="45"/>
      <c r="K285" s="32">
        <f t="shared" si="4"/>
        <v>0</v>
      </c>
    </row>
    <row r="286" spans="3:11" ht="15.75" x14ac:dyDescent="0.25">
      <c r="C286" s="90">
        <v>35</v>
      </c>
      <c r="D286" s="159" t="s">
        <v>268</v>
      </c>
      <c r="E286" s="27" t="s">
        <v>122</v>
      </c>
      <c r="F286" s="12">
        <v>0</v>
      </c>
      <c r="G286" s="42">
        <v>0</v>
      </c>
      <c r="H286" s="57">
        <v>0</v>
      </c>
      <c r="I286" s="57">
        <v>0</v>
      </c>
      <c r="J286" s="57">
        <v>0</v>
      </c>
      <c r="K286" s="32">
        <f t="shared" si="4"/>
        <v>0</v>
      </c>
    </row>
    <row r="287" spans="3:11" ht="15.75" x14ac:dyDescent="0.25">
      <c r="C287" s="91"/>
      <c r="D287" s="160"/>
      <c r="E287" s="27" t="s">
        <v>269</v>
      </c>
      <c r="F287" s="12">
        <v>0</v>
      </c>
      <c r="G287" s="42">
        <v>0</v>
      </c>
      <c r="H287" s="57">
        <v>0</v>
      </c>
      <c r="I287" s="57">
        <v>0</v>
      </c>
      <c r="J287" s="57">
        <v>0</v>
      </c>
      <c r="K287" s="32">
        <f t="shared" si="4"/>
        <v>0</v>
      </c>
    </row>
    <row r="288" spans="3:11" ht="15.75" x14ac:dyDescent="0.25">
      <c r="C288" s="91"/>
      <c r="D288" s="160"/>
      <c r="E288" s="27" t="s">
        <v>270</v>
      </c>
      <c r="F288" s="12">
        <v>0</v>
      </c>
      <c r="G288" s="42">
        <v>0</v>
      </c>
      <c r="H288" s="57">
        <v>0</v>
      </c>
      <c r="I288" s="57">
        <v>0</v>
      </c>
      <c r="J288" s="57">
        <v>1</v>
      </c>
      <c r="K288" s="32">
        <f t="shared" si="4"/>
        <v>1</v>
      </c>
    </row>
    <row r="289" spans="3:11" ht="15.75" x14ac:dyDescent="0.25">
      <c r="C289" s="91"/>
      <c r="D289" s="160"/>
      <c r="E289" s="28" t="s">
        <v>271</v>
      </c>
      <c r="F289" s="12">
        <v>3</v>
      </c>
      <c r="G289" s="42">
        <v>0</v>
      </c>
      <c r="H289" s="57">
        <v>0</v>
      </c>
      <c r="I289" s="57">
        <v>0</v>
      </c>
      <c r="J289" s="57">
        <v>1</v>
      </c>
      <c r="K289" s="32">
        <f t="shared" si="4"/>
        <v>4</v>
      </c>
    </row>
    <row r="290" spans="3:11" ht="15.75" x14ac:dyDescent="0.25">
      <c r="C290" s="92"/>
      <c r="D290" s="161"/>
      <c r="E290" s="29" t="s">
        <v>272</v>
      </c>
      <c r="F290" s="12">
        <v>0</v>
      </c>
      <c r="G290" s="42">
        <v>4</v>
      </c>
      <c r="H290" s="57">
        <v>0</v>
      </c>
      <c r="I290" s="57">
        <v>0</v>
      </c>
      <c r="J290" s="57">
        <v>0</v>
      </c>
      <c r="K290" s="32">
        <f t="shared" si="4"/>
        <v>4</v>
      </c>
    </row>
    <row r="291" spans="3:11" ht="15.75" x14ac:dyDescent="0.25">
      <c r="C291" s="162">
        <v>36</v>
      </c>
      <c r="D291" s="165" t="s">
        <v>273</v>
      </c>
      <c r="E291" s="30" t="s">
        <v>122</v>
      </c>
      <c r="F291" s="43">
        <v>6</v>
      </c>
      <c r="G291" s="44">
        <v>12</v>
      </c>
      <c r="H291" s="52">
        <v>0</v>
      </c>
      <c r="I291" s="52">
        <v>2</v>
      </c>
      <c r="J291" s="52">
        <v>1</v>
      </c>
      <c r="K291" s="32">
        <f t="shared" si="4"/>
        <v>21</v>
      </c>
    </row>
    <row r="292" spans="3:11" ht="15.75" x14ac:dyDescent="0.25">
      <c r="C292" s="163"/>
      <c r="D292" s="166"/>
      <c r="E292" s="30" t="s">
        <v>274</v>
      </c>
      <c r="F292" s="43">
        <v>6</v>
      </c>
      <c r="G292" s="44">
        <v>8</v>
      </c>
      <c r="H292" s="52">
        <v>0</v>
      </c>
      <c r="I292" s="52">
        <v>0</v>
      </c>
      <c r="J292" s="52">
        <v>1</v>
      </c>
      <c r="K292" s="32">
        <f t="shared" si="4"/>
        <v>15</v>
      </c>
    </row>
    <row r="293" spans="3:11" ht="15.75" x14ac:dyDescent="0.25">
      <c r="C293" s="163"/>
      <c r="D293" s="166"/>
      <c r="E293" s="30" t="s">
        <v>275</v>
      </c>
      <c r="F293" s="43">
        <v>0</v>
      </c>
      <c r="G293" s="44">
        <v>4</v>
      </c>
      <c r="H293" s="52">
        <v>0</v>
      </c>
      <c r="I293" s="52">
        <v>1</v>
      </c>
      <c r="J293" s="52">
        <v>1</v>
      </c>
      <c r="K293" s="32">
        <f t="shared" si="4"/>
        <v>6</v>
      </c>
    </row>
    <row r="294" spans="3:11" ht="15.75" x14ac:dyDescent="0.25">
      <c r="C294" s="163"/>
      <c r="D294" s="166"/>
      <c r="E294" s="30" t="s">
        <v>276</v>
      </c>
      <c r="F294" s="43">
        <v>0</v>
      </c>
      <c r="G294" s="44">
        <v>0</v>
      </c>
      <c r="H294" s="52">
        <v>0</v>
      </c>
      <c r="I294" s="52">
        <v>0</v>
      </c>
      <c r="J294" s="52">
        <v>0</v>
      </c>
      <c r="K294" s="32">
        <f t="shared" si="4"/>
        <v>0</v>
      </c>
    </row>
    <row r="295" spans="3:11" ht="15.75" x14ac:dyDescent="0.25">
      <c r="C295" s="164"/>
      <c r="D295" s="167"/>
      <c r="E295" s="30" t="s">
        <v>66</v>
      </c>
      <c r="F295" s="43">
        <v>0</v>
      </c>
      <c r="G295" s="44">
        <v>0</v>
      </c>
      <c r="H295" s="52">
        <v>0</v>
      </c>
      <c r="I295" s="52">
        <v>1</v>
      </c>
      <c r="J295" s="52">
        <v>0</v>
      </c>
      <c r="K295" s="32">
        <f t="shared" si="4"/>
        <v>1</v>
      </c>
    </row>
    <row r="296" spans="3:11" ht="15.75" x14ac:dyDescent="0.25">
      <c r="C296" s="157" t="s">
        <v>277</v>
      </c>
      <c r="D296" s="158"/>
      <c r="E296" s="158"/>
      <c r="F296" s="66">
        <v>6511</v>
      </c>
      <c r="G296" s="66">
        <v>6667</v>
      </c>
      <c r="H296" s="46">
        <v>152840</v>
      </c>
      <c r="I296" s="46">
        <v>1740</v>
      </c>
      <c r="J296" s="46">
        <v>45902</v>
      </c>
      <c r="K296" s="32">
        <f t="shared" si="4"/>
        <v>213660</v>
      </c>
    </row>
    <row r="297" spans="3:11" ht="15.75" x14ac:dyDescent="0.25">
      <c r="C297" s="13"/>
      <c r="D297" s="14" t="s">
        <v>278</v>
      </c>
      <c r="E297" s="15"/>
      <c r="F297" s="156"/>
      <c r="G297" s="156"/>
      <c r="H297" s="156"/>
      <c r="I297" s="156"/>
      <c r="J297" s="156"/>
      <c r="K297" s="156"/>
    </row>
  </sheetData>
  <mergeCells count="92">
    <mergeCell ref="F297:K297"/>
    <mergeCell ref="C296:E296"/>
    <mergeCell ref="C282:C285"/>
    <mergeCell ref="D282:D285"/>
    <mergeCell ref="C286:C290"/>
    <mergeCell ref="D286:D290"/>
    <mergeCell ref="C291:C295"/>
    <mergeCell ref="D291:D295"/>
    <mergeCell ref="C267:C269"/>
    <mergeCell ref="D267:D269"/>
    <mergeCell ref="C270:C274"/>
    <mergeCell ref="D270:D274"/>
    <mergeCell ref="C275:C281"/>
    <mergeCell ref="D275:D281"/>
    <mergeCell ref="C237:C249"/>
    <mergeCell ref="D237:D249"/>
    <mergeCell ref="C250:C256"/>
    <mergeCell ref="D250:D256"/>
    <mergeCell ref="C257:C266"/>
    <mergeCell ref="D257:D266"/>
    <mergeCell ref="C188:C190"/>
    <mergeCell ref="D188:D190"/>
    <mergeCell ref="C191:C225"/>
    <mergeCell ref="D191:D225"/>
    <mergeCell ref="C226:C236"/>
    <mergeCell ref="D226:D236"/>
    <mergeCell ref="C174:C177"/>
    <mergeCell ref="D174:D177"/>
    <mergeCell ref="C178:C183"/>
    <mergeCell ref="D178:D183"/>
    <mergeCell ref="C184:C187"/>
    <mergeCell ref="D184:D187"/>
    <mergeCell ref="C143:C152"/>
    <mergeCell ref="D143:D152"/>
    <mergeCell ref="C153:C165"/>
    <mergeCell ref="D153:D165"/>
    <mergeCell ref="C166:C173"/>
    <mergeCell ref="D166:D173"/>
    <mergeCell ref="C120:C124"/>
    <mergeCell ref="D120:D124"/>
    <mergeCell ref="C125:C127"/>
    <mergeCell ref="D125:D127"/>
    <mergeCell ref="C128:C142"/>
    <mergeCell ref="D128:D142"/>
    <mergeCell ref="C89:C92"/>
    <mergeCell ref="D89:D92"/>
    <mergeCell ref="C93:C96"/>
    <mergeCell ref="D93:D96"/>
    <mergeCell ref="C97:C119"/>
    <mergeCell ref="D97:D119"/>
    <mergeCell ref="C66:C68"/>
    <mergeCell ref="D66:D68"/>
    <mergeCell ref="C69:C70"/>
    <mergeCell ref="D69:D70"/>
    <mergeCell ref="C71:C88"/>
    <mergeCell ref="D71:D88"/>
    <mergeCell ref="C52:C56"/>
    <mergeCell ref="D52:D56"/>
    <mergeCell ref="C57:C59"/>
    <mergeCell ref="D57:D59"/>
    <mergeCell ref="C60:C65"/>
    <mergeCell ref="D60:D65"/>
    <mergeCell ref="C29:C34"/>
    <mergeCell ref="D29:D34"/>
    <mergeCell ref="C35:C41"/>
    <mergeCell ref="D35:D41"/>
    <mergeCell ref="C42:C51"/>
    <mergeCell ref="D42:D51"/>
    <mergeCell ref="C24:C28"/>
    <mergeCell ref="D24:D28"/>
    <mergeCell ref="C12:C14"/>
    <mergeCell ref="D12:D14"/>
    <mergeCell ref="E12:E14"/>
    <mergeCell ref="C15:C18"/>
    <mergeCell ref="D15:D18"/>
    <mergeCell ref="C19:C23"/>
    <mergeCell ref="D19:D23"/>
    <mergeCell ref="B7:P7"/>
    <mergeCell ref="K12:K14"/>
    <mergeCell ref="B8:G8"/>
    <mergeCell ref="B9:P9"/>
    <mergeCell ref="B10:G10"/>
    <mergeCell ref="H12:H14"/>
    <mergeCell ref="F12:F14"/>
    <mergeCell ref="G12:G14"/>
    <mergeCell ref="I12:I14"/>
    <mergeCell ref="J12:J14"/>
    <mergeCell ref="B2:G2"/>
    <mergeCell ref="B3:G3"/>
    <mergeCell ref="B4:P4"/>
    <mergeCell ref="B5:P5"/>
    <mergeCell ref="B6:P6"/>
  </mergeCells>
  <pageMargins left="0.7" right="0.7" top="0.75" bottom="0.75" header="0.3" footer="0.3"/>
  <pageSetup paperSize="5" scale="91" orientation="landscape" r:id="rId1"/>
  <colBreaks count="2" manualBreakCount="2">
    <brk id="4" max="296" man="1"/>
    <brk id="10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 Acer</dc:creator>
  <cp:lastModifiedBy>ASUS AIO</cp:lastModifiedBy>
  <cp:lastPrinted>2026-07-21T06:14:29Z</cp:lastPrinted>
  <dcterms:created xsi:type="dcterms:W3CDTF">2026-04-27T03:12:16Z</dcterms:created>
  <dcterms:modified xsi:type="dcterms:W3CDTF">2026-07-21T23:11:25Z</dcterms:modified>
</cp:coreProperties>
</file>